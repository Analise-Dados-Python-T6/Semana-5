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cae31c2a9d6eb7de/FIESC/Semana 05/Exemplo supermercado/"/>
    </mc:Choice>
  </mc:AlternateContent>
  <xr:revisionPtr revIDLastSave="17" documentId="11_80A2636E1D9366B6269DA4BCC905A0D43740D898" xr6:coauthVersionLast="47" xr6:coauthVersionMax="47" xr10:uidLastSave="{07102B97-F5F0-4B7D-8EB0-4786DD562979}"/>
  <bookViews>
    <workbookView xWindow="-110" yWindow="-110" windowWidth="19420" windowHeight="11500" firstSheet="10" activeTab="12" xr2:uid="{00000000-000D-0000-FFFF-FFFF00000000}"/>
  </bookViews>
  <sheets>
    <sheet name="01_Dados_Vendas" sheetId="2" r:id="rId1"/>
    <sheet name="02_Cadastros" sheetId="3" r:id="rId2"/>
    <sheet name="03_Series" sheetId="4" r:id="rId3"/>
    <sheet name="04_DataFrame" sheetId="5" r:id="rId4"/>
    <sheet name="05_Explorar" sheetId="6" r:id="rId5"/>
    <sheet name="06_Ler_Salvar" sheetId="7" r:id="rId6"/>
    <sheet name="07_Ausentes" sheetId="8" r:id="rId7"/>
    <sheet name="08_Colunas" sheetId="9" r:id="rId8"/>
    <sheet name="09_loc_iloc" sheetId="10" r:id="rId9"/>
    <sheet name="10_Filtros" sheetId="11" r:id="rId10"/>
    <sheet name="11_groupby" sheetId="12" r:id="rId11"/>
    <sheet name="12_merge" sheetId="13" r:id="rId12"/>
    <sheet name="13_pivot_table" sheetId="14" r:id="rId13"/>
    <sheet name="14_Mini_Desafio" sheetId="15" r:id="rId14"/>
    <sheet name="15_Chuleta" sheetId="16" r:id="rId15"/>
    <sheet name="16_Glossario" sheetId="17"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4" l="1"/>
  <c r="C10" i="6"/>
  <c r="D9" i="6"/>
  <c r="B15" i="4"/>
  <c r="H12" i="14"/>
  <c r="G12" i="14"/>
  <c r="F12" i="14"/>
  <c r="E12" i="14"/>
  <c r="D12" i="14"/>
  <c r="C12" i="14"/>
  <c r="H11" i="14"/>
  <c r="G11" i="14"/>
  <c r="F11" i="14"/>
  <c r="E11" i="14"/>
  <c r="D11" i="14"/>
  <c r="C11" i="14"/>
  <c r="H10" i="14"/>
  <c r="G10" i="14"/>
  <c r="F10" i="14"/>
  <c r="E10" i="14"/>
  <c r="D10" i="14"/>
  <c r="C10" i="14"/>
  <c r="H9" i="14"/>
  <c r="G9" i="14"/>
  <c r="F9" i="14"/>
  <c r="E9" i="14"/>
  <c r="D9" i="14"/>
  <c r="C9" i="14"/>
  <c r="H8" i="14"/>
  <c r="G8" i="14"/>
  <c r="F8" i="14"/>
  <c r="E8" i="14"/>
  <c r="D8" i="14"/>
  <c r="C8" i="14"/>
  <c r="H7" i="14"/>
  <c r="G7" i="14"/>
  <c r="F7" i="14"/>
  <c r="E7" i="14"/>
  <c r="D7" i="14"/>
  <c r="E16" i="13"/>
  <c r="E15" i="13"/>
  <c r="E14" i="13"/>
  <c r="E13" i="13"/>
  <c r="E12" i="13"/>
  <c r="E11" i="13"/>
  <c r="E10" i="13"/>
  <c r="E9" i="13"/>
  <c r="E8" i="13"/>
  <c r="E7" i="13"/>
  <c r="D12" i="12"/>
  <c r="C12" i="12"/>
  <c r="D11" i="12"/>
  <c r="C11" i="12"/>
  <c r="D10" i="12"/>
  <c r="C10" i="12"/>
  <c r="D9" i="12"/>
  <c r="C9" i="12"/>
  <c r="D8" i="12"/>
  <c r="C8" i="12"/>
  <c r="D7" i="12"/>
  <c r="C7" i="12"/>
  <c r="G16" i="11"/>
  <c r="F16" i="11"/>
  <c r="G15" i="11"/>
  <c r="F15" i="11"/>
  <c r="G14" i="11"/>
  <c r="F14" i="11"/>
  <c r="G13" i="11"/>
  <c r="F13" i="11"/>
  <c r="G12" i="11"/>
  <c r="F12" i="11"/>
  <c r="G11" i="11"/>
  <c r="F11" i="11"/>
  <c r="G10" i="11"/>
  <c r="F10" i="11"/>
  <c r="G9" i="11"/>
  <c r="F9" i="11"/>
  <c r="G8" i="11"/>
  <c r="F8" i="11"/>
  <c r="G7" i="11"/>
  <c r="F7" i="11"/>
  <c r="E14" i="9"/>
  <c r="E13" i="9"/>
  <c r="E12" i="9"/>
  <c r="E11" i="9"/>
  <c r="E10" i="9"/>
  <c r="E9" i="9"/>
  <c r="E8" i="9"/>
  <c r="E7" i="9"/>
  <c r="C38" i="8"/>
  <c r="C37" i="8"/>
  <c r="C22" i="6"/>
  <c r="C21" i="6"/>
  <c r="C20" i="6"/>
  <c r="C19" i="6"/>
  <c r="D15" i="6"/>
  <c r="C15" i="6"/>
  <c r="D14" i="6"/>
  <c r="C14" i="6"/>
  <c r="D13" i="6"/>
  <c r="C13" i="6"/>
  <c r="D12" i="6"/>
  <c r="C12" i="6"/>
  <c r="D11" i="6"/>
  <c r="C11" i="6"/>
  <c r="D10" i="6"/>
  <c r="C9" i="6"/>
  <c r="D8" i="6"/>
  <c r="C8" i="6"/>
  <c r="B13" i="5"/>
  <c r="B12" i="5"/>
</calcChain>
</file>

<file path=xl/sharedStrings.xml><?xml version="1.0" encoding="utf-8"?>
<sst xmlns="http://schemas.openxmlformats.org/spreadsheetml/2006/main" count="640" uniqueCount="346">
  <si>
    <t>01 - A tabela-base</t>
  </si>
  <si>
    <t>Em Pandas: um DataFrame chamado df. Linha = venda; coluna = informacao da venda.</t>
  </si>
  <si>
    <t>#</t>
  </si>
  <si>
    <t>id_venda</t>
  </si>
  <si>
    <t>data</t>
  </si>
  <si>
    <t>produto</t>
  </si>
  <si>
    <t>setor</t>
  </si>
  <si>
    <t>preco_unitario</t>
  </si>
  <si>
    <t>quantidade</t>
  </si>
  <si>
    <t>filial</t>
  </si>
  <si>
    <t>estado</t>
  </si>
  <si>
    <t>operador</t>
  </si>
  <si>
    <t>2026-01-03</t>
  </si>
  <si>
    <t>Banana Prata</t>
  </si>
  <si>
    <t>Hortifruti</t>
  </si>
  <si>
    <t>Filial Centro</t>
  </si>
  <si>
    <t>SP</t>
  </si>
  <si>
    <t>Ana</t>
  </si>
  <si>
    <t>2026-01-05</t>
  </si>
  <si>
    <t>Picanha</t>
  </si>
  <si>
    <t>Acougue</t>
  </si>
  <si>
    <t>Filial Shopping</t>
  </si>
  <si>
    <t>RJ</t>
  </si>
  <si>
    <t>Bruno</t>
  </si>
  <si>
    <t>2026-01-08</t>
  </si>
  <si>
    <t>Refrigerante 2L</t>
  </si>
  <si>
    <t>Bebidas</t>
  </si>
  <si>
    <t>Loja Online</t>
  </si>
  <si>
    <t>MG</t>
  </si>
  <si>
    <t>2026-01-10</t>
  </si>
  <si>
    <t>Leite Integral 1L</t>
  </si>
  <si>
    <t>Laticinios</t>
  </si>
  <si>
    <t>Filial Bairro</t>
  </si>
  <si>
    <t>Carla</t>
  </si>
  <si>
    <t>2026-01-13</t>
  </si>
  <si>
    <t>Detergente</t>
  </si>
  <si>
    <t>Limpeza</t>
  </si>
  <si>
    <t>Diego</t>
  </si>
  <si>
    <t>2026-01-16</t>
  </si>
  <si>
    <t>Pao Frances</t>
  </si>
  <si>
    <t>Padaria</t>
  </si>
  <si>
    <t>2026-01-19</t>
  </si>
  <si>
    <t>Cerveja Lata 6un</t>
  </si>
  <si>
    <t>2026-01-22</t>
  </si>
  <si>
    <t>Queijo Mussarela</t>
  </si>
  <si>
    <t>2026-01-25</t>
  </si>
  <si>
    <t>Frango</t>
  </si>
  <si>
    <t>PR</t>
  </si>
  <si>
    <t>2026-01-28</t>
  </si>
  <si>
    <t>Tomate</t>
  </si>
  <si>
    <t>Elaine</t>
  </si>
  <si>
    <t>2026-02-02</t>
  </si>
  <si>
    <t>Sabao em Po 1kg</t>
  </si>
  <si>
    <t>2026-02-05</t>
  </si>
  <si>
    <t>Suco de Laranja 1L</t>
  </si>
  <si>
    <t>2026-02-09</t>
  </si>
  <si>
    <t>RS</t>
  </si>
  <si>
    <t>2026-02-12</t>
  </si>
  <si>
    <t>Maca</t>
  </si>
  <si>
    <t>BA</t>
  </si>
  <si>
    <t>2026-02-16</t>
  </si>
  <si>
    <t>Bolo de Fuba</t>
  </si>
  <si>
    <t>2026-02-20</t>
  </si>
  <si>
    <t>Agua Mineral 6un</t>
  </si>
  <si>
    <t>2026-02-24</t>
  </si>
  <si>
    <t>Iogurte 170g</t>
  </si>
  <si>
    <t>2026-02-27</t>
  </si>
  <si>
    <t>Linguica</t>
  </si>
  <si>
    <t>2026-03-03</t>
  </si>
  <si>
    <t>Amaciante 2L</t>
  </si>
  <si>
    <t>2026-03-07</t>
  </si>
  <si>
    <t>2026-03-11</t>
  </si>
  <si>
    <t>2026-03-15</t>
  </si>
  <si>
    <t>2026-03-19</t>
  </si>
  <si>
    <t>2026-03-23</t>
  </si>
  <si>
    <t>2026-03-27</t>
  </si>
  <si>
    <t>2026-04-01</t>
  </si>
  <si>
    <t>2026-04-05</t>
  </si>
  <si>
    <t>Alface</t>
  </si>
  <si>
    <t>2026-04-09</t>
  </si>
  <si>
    <t>df.dtypes  (tipo de cada coluna)</t>
  </si>
  <si>
    <t>id_venda        int64
data            object
produto         object
setor           object
preco_unitario  float64
quantidade      float64    (2 vazias)
filial          object
estado          object
operador        object     (3 vazias)</t>
  </si>
  <si>
    <t>02 - Cadastros (para o merge)</t>
  </si>
  <si>
    <t>Cada operador trabalha numa filial (id_filial). A aba 12 junta as duas por essa coluna.</t>
  </si>
  <si>
    <t>Operadores</t>
  </si>
  <si>
    <t>Filiais</t>
  </si>
  <si>
    <t>id_operador</t>
  </si>
  <si>
    <t>nome</t>
  </si>
  <si>
    <t>id_filial</t>
  </si>
  <si>
    <t>salario</t>
  </si>
  <si>
    <t>ano_admissao</t>
  </si>
  <si>
    <t>nome_filial</t>
  </si>
  <si>
    <t>cidade</t>
  </si>
  <si>
    <t>gerente</t>
  </si>
  <si>
    <t>Ana Souza</t>
  </si>
  <si>
    <t>Sao Paulo</t>
  </si>
  <si>
    <t>Marcos</t>
  </si>
  <si>
    <t>Bruno Lima</t>
  </si>
  <si>
    <t>Nubia</t>
  </si>
  <si>
    <t>Carla Dias</t>
  </si>
  <si>
    <t>Rio de Janeiro</t>
  </si>
  <si>
    <t>Otavio</t>
  </si>
  <si>
    <t>Diego Alves</t>
  </si>
  <si>
    <t>Centro de Distr.</t>
  </si>
  <si>
    <t>Paula</t>
  </si>
  <si>
    <t>Elaine Reis</t>
  </si>
  <si>
    <t>Felipe Nunes</t>
  </si>
  <si>
    <t>Gabriela Melo</t>
  </si>
  <si>
    <t>Hugo Castro</t>
  </si>
  <si>
    <t>Ivone Prado</t>
  </si>
  <si>
    <t>Joao Pires</t>
  </si>
  <si>
    <t>Joao Pires tem id_filial = 99, que nao existe em Filiais (de proposito).</t>
  </si>
  <si>
    <t>03 - Series</t>
  </si>
  <si>
    <t>Uma coluna de valores em que cada valor tem um rotulo (o index). Ex.: preco medio por setor.</t>
  </si>
  <si>
    <t>index (rotulo)</t>
  </si>
  <si>
    <t>valor</t>
  </si>
  <si>
    <t>No Excel  -  buscar pelo rotulo</t>
  </si>
  <si>
    <t>PT-BR: PROCV</t>
  </si>
  <si>
    <t>No Python</t>
  </si>
  <si>
    <t>preco = pd.Series(
    [48.95, 13.91, 6.33, 21.09, 12.1, 14.97],
    index=['Acougue', 'Bebidas', 'Hortifruti', 'Laticinios', 'Limpeza', 'Padaria'],
)
preco["Acougue"]
preco.mean()</t>
  </si>
  <si>
    <t>Resultado</t>
  </si>
  <si>
    <t>setor
Acougue       48.95
Bebidas       13.91
Hortifruti     6.33
Laticinios    21.09
Limpeza       12.10
Padaria       14.97
preco["Acougue"] -&gt; 48.95
preco.mean() -&gt; 19.56</t>
  </si>
  <si>
    <t>Cada coluna de um DataFrame e, por dentro, uma Series.</t>
  </si>
  <si>
    <t>04 - DataFrame</t>
  </si>
  <si>
    <t>Varias colunas (cada uma uma Series) na mesma tabela, com o mesmo index de linhas.</t>
  </si>
  <si>
    <t>No Excel</t>
  </si>
  <si>
    <t>tamanho (shape)</t>
  </si>
  <si>
    <t>nomes das colunas</t>
  </si>
  <si>
    <t>produtos = pd.DataFrame({
    "produto": ["Picanha", "Banana Prata", "Detergente"],
    "setor":   ["Acougue", "Hortifruti", "Limpeza"],
    "preco_unitario": [79.90, 5.99, 2.49],
})
produtos.shape     # (3, 3)
produtos.columns   # nomes
produtos.dtypes    # tipo de cada coluna</t>
  </si>
  <si>
    <t>shape, columns e dtypes sao atributos: sem parenteses.</t>
  </si>
  <si>
    <t>05 - Explorar: head / describe / value_counts</t>
  </si>
  <si>
    <t>head(n): primeiras n linhas.  describe(): resumo dos numeros.  value_counts(): contar categorias.</t>
  </si>
  <si>
    <t>describe()</t>
  </si>
  <si>
    <t>estatistica</t>
  </si>
  <si>
    <t>count</t>
  </si>
  <si>
    <t>mean</t>
  </si>
  <si>
    <t>std</t>
  </si>
  <si>
    <t>min</t>
  </si>
  <si>
    <t>25%</t>
  </si>
  <si>
    <t>50%</t>
  </si>
  <si>
    <t>75%</t>
  </si>
  <si>
    <t>max</t>
  </si>
  <si>
    <t>value_counts() em filial</t>
  </si>
  <si>
    <t>contagem</t>
  </si>
  <si>
    <t>df.head(3)
df[["preco_unitario", "quantidade"]].describe()
df["filial"].value_counts()</t>
  </si>
  <si>
    <t>describe():
       preco_unitario  quantidade
count           28.00       26.00
mean            21.27        5.92
std             23.60        4.82
min              2.49        1.00
25%              7.19        2.00
50%             12.70        4.00
75%             22.05        8.75
max             82.50       20.00
value_counts():
filial
Filial Centro      8
Filial Shopping    8
Filial Bairro      7
Loja Online        5</t>
  </si>
  <si>
    <t>count de quantidade da 26, nao 28: faltam 2 (ver aba 07).</t>
  </si>
  <si>
    <t>06 - Ler e salvar</t>
  </si>
  <si>
    <t>Cada formato tem uma funcao de leitura; todas devolvem um DataFrame.</t>
  </si>
  <si>
    <t>formato</t>
  </si>
  <si>
    <t>funcao</t>
  </si>
  <si>
    <t>exemplo</t>
  </si>
  <si>
    <t>CSV</t>
  </si>
  <si>
    <t>pd.read_csv()</t>
  </si>
  <si>
    <t>pd.read_csv("vendas.csv")</t>
  </si>
  <si>
    <t>Excel</t>
  </si>
  <si>
    <t>pd.read_excel()</t>
  </si>
  <si>
    <t>pd.read_excel("vendas.xlsx")</t>
  </si>
  <si>
    <t>JSON</t>
  </si>
  <si>
    <t>pd.read_json()</t>
  </si>
  <si>
    <t>pd.read_json("vendas.json")</t>
  </si>
  <si>
    <t>Banco SQL</t>
  </si>
  <si>
    <t>pd.read_sql()</t>
  </si>
  <si>
    <t>pd.read_sql(consulta, conexao)</t>
  </si>
  <si>
    <t>salvar CSV</t>
  </si>
  <si>
    <t>df.to_csv()</t>
  </si>
  <si>
    <t>df.to_csv("saida.csv", index=False)</t>
  </si>
  <si>
    <t>Erro comum: separador</t>
  </si>
  <si>
    <t>CSV brasileiro costuma separar por ponto-e-virgula. Sem avisar, o Pandas usa virgula e junta tudo numa coluna.</t>
  </si>
  <si>
    <t># errado: separador padrao
df = pd.read_csv("vendas_ptbr.csv")
df.shape        # (1, 1)  &lt;- so 1 coluna
# certo
df = pd.read_csv("vendas_ptbr.csv", sep=";")</t>
  </si>
  <si>
    <t>Depois de ler qualquer arquivo, confira df.shape.</t>
  </si>
  <si>
    <t>07 - Dados ausentes (NaN)</t>
  </si>
  <si>
    <t>NaN = celula sem informacao. Nao e zero nem texto vazio.</t>
  </si>
  <si>
    <t>No Excel  -  contar vazios</t>
  </si>
  <si>
    <t>vazios em quantidade (2)</t>
  </si>
  <si>
    <t>vazios em operador (3)</t>
  </si>
  <si>
    <t>df.isnull().sum()
df.dropna().shape                     # (23, 9) - so mostra
df["quantidade"] = df["quantidade"].fillna(1)   # altera</t>
  </si>
  <si>
    <t>id_venda          0
data              0
produto           0
setor             0
preco_unitario    0
quantidade        2
filial            0
estado            0
operador          3</t>
  </si>
  <si>
    <t>dropna(): 28 -&gt; 23 linhas.  fillna(): escolha um valor que faca sentido.</t>
  </si>
  <si>
    <t>08 - Colunas, coluna calculada, ordenar</t>
  </si>
  <si>
    <t>Escolher colunas: df[["a", "b"]].  Nova coluna: df["total"] = df["a"] * df["b"].</t>
  </si>
  <si>
    <t>valor_total</t>
  </si>
  <si>
    <t>No Excel: digite a formula e arraste. No Pandas: aplica na coluna toda de uma vez.</t>
  </si>
  <si>
    <t>df["valor_total"] = df["preco_unitario"] * df["quantidade"]
df.sort_values("valor_total", ascending=False).head(5)</t>
  </si>
  <si>
    <t>Resultado  (5 maiores)</t>
  </si>
  <si>
    <t xml:space="preserve">             produto  preco_unitario  quantidade  valor_total
27           Picanha           80.00         2.0       160.00
1            Picanha           79.90         2.0       159.80
24  Cerveja Lata 6un           22.50         6.0       135.00
19      Banana Prata            6.29        15.0        94.35
7   Queijo Mussarela           44.90         2.0        89.80</t>
  </si>
  <si>
    <t>sort_values devolve uma copia; df continua na ordem original.</t>
  </si>
  <si>
    <t>09 - loc x iloc</t>
  </si>
  <si>
    <t>loc = por rotulo do index (inclui o fim).  iloc = por posicao, de 0 (exclui o fim).</t>
  </si>
  <si>
    <t>comando</t>
  </si>
  <si>
    <t>traz</t>
  </si>
  <si>
    <t>inclui o fim?</t>
  </si>
  <si>
    <t>df.loc[0:2]</t>
  </si>
  <si>
    <t>rotulos 0, 1, 2</t>
  </si>
  <si>
    <t>sim -&gt; 3 linhas</t>
  </si>
  <si>
    <t>df.iloc[0:3]</t>
  </si>
  <si>
    <t>posicoes 0, 1, 2</t>
  </si>
  <si>
    <t>nao -&gt; 3 linhas</t>
  </si>
  <si>
    <t>df.iloc[0:2]</t>
  </si>
  <si>
    <t>posicoes 0, 1</t>
  </si>
  <si>
    <t>nao -&gt; 2 linhas</t>
  </si>
  <si>
    <t>df.loc[0:2, ["produto", "filial"]]   # rotulo + colunas por nome
df.iloc[0:3, 0:3]                    # posicao</t>
  </si>
  <si>
    <t>df.loc[0:2, ['produto','filial']]:
           produto           filial
0     Banana Prata    Filial Centro
1          Picanha  Filial Shopping
2  Refrigerante 2L      Loja Online
df.iloc[0:3, 0:3]:
   id_venda        data          produto
0      2001  2026-01-03     Banana Prata
1      2002  2026-01-05          Picanha
2      2003  2026-01-08  Refrigerante 2L</t>
  </si>
  <si>
    <t>10 - Filtros</t>
  </si>
  <si>
    <t>A condicao gera uma coluna de VERDADEIRO/FALSO. O Pandas fica so com as linhas VERDADEIRO.</t>
  </si>
  <si>
    <t>preco&gt;20?</t>
  </si>
  <si>
    <t>Bebidas e RJ?</t>
  </si>
  <si>
    <t>df[df["preco_unitario"] &gt; 20]
df[(df["setor"] == "Bebidas") &amp; (df["estado"] == "RJ")]</t>
  </si>
  <si>
    <t>preco &gt; 20: 8 linhas
             produto  preco_unitario
1            Picanha            79.9
6   Cerveja Lata 6un            21.9
7   Queijo Mussarela            44.9
12           Picanha            82.5
17          Linguica            24.9
24  Cerveja Lata 6un            22.5
25  Queijo Mussarela            46.9
27           Picanha            80.0
Bebidas &amp; RJ:
             produto    setor estado
6   Cerveja Lata 6un  Bebidas     RJ
20   Refrigerante 2L  Bebidas     RJ</t>
  </si>
  <si>
    <t>Use &amp; e | (nunca and / or). Cada condicao entre parenteses.</t>
  </si>
  <si>
    <t>11 - groupby</t>
  </si>
  <si>
    <t>Separar as linhas por setor e resumir cada grupo (media, contagem, ...).</t>
  </si>
  <si>
    <t>media</t>
  </si>
  <si>
    <t>Mesma coisa que a Tabela Dinamica: setor em Linhas, preco_unitario em Valores.</t>
  </si>
  <si>
    <t>df.groupby("setor")["preco_unitario"].mean()
df.groupby("setor")["preco_unitario"].agg(["mean","min","max","count"])</t>
  </si>
  <si>
    <t xml:space="preserve">             mean    min   max  count
setor                                
Acougue     48.95  12.90  82.5      6
Bebidas     13.91   8.49  22.5      6
Hortifruti   6.33   2.99   8.9      5
Laticinios  21.09   3.49  46.9      5
Limpeza     12.10   2.49  18.9      3
Padaria     14.97  12.50  16.5      3</t>
  </si>
  <si>
    <t>12 - merge (o PROCV do Pandas)</t>
  </si>
  <si>
    <t>Trazer, ao lado de cada operador, o nome da filial. Chave em comum: id_filial.</t>
  </si>
  <si>
    <t>id_filial 99 nao existe: com inner o Joao some; com left ele fica, com vazio.</t>
  </si>
  <si>
    <t>how</t>
  </si>
  <si>
    <t>mantem</t>
  </si>
  <si>
    <t>inner</t>
  </si>
  <si>
    <t>so quem existe nas duas tabelas</t>
  </si>
  <si>
    <t>left</t>
  </si>
  <si>
    <t>todas as linhas da esquerda</t>
  </si>
  <si>
    <t>right</t>
  </si>
  <si>
    <t>todas as linhas da direita</t>
  </si>
  <si>
    <t>outer</t>
  </si>
  <si>
    <t>todas as linhas das duas</t>
  </si>
  <si>
    <t>op.merge(fil, on="id_filial", how="inner")
op.merge(fil, on="id_filial", how="left")</t>
  </si>
  <si>
    <t>inner (9 linhas):
            nome  id_filial      nome_filial
0      Ana Souza          1    Filial Centro
1     Bruno Lima          1    Filial Centro
2     Carla Dias          2    Filial Bairro
3    Diego Alves          2    Filial Bairro
4    Elaine Reis          3  Filial Shopping
5   Felipe Nunes          3  Filial Shopping
6  Gabriela Melo          4      Loja Online
7    Hugo Castro          2    Filial Bairro
8    Ivone Prado          1    Filial Centro
left (10 linhas):
            nome  id_filial      nome_filial
0      Ana Souza          1    Filial Centro
1     Bruno Lima          1    Filial Centro
2     Carla Dias          2    Filial Bairro
3    Diego Alves          2    Filial Bairro
4    Elaine Reis          3  Filial Shopping
5   Felipe Nunes          3  Filial Shopping
6  Gabriela Melo          4      Loja Online
7    Hugo Castro          2    Filial Bairro
8    Ivone Prado          1    Filial Centro
9     Joao Pires         99              NaN</t>
  </si>
  <si>
    <t>13 - pivot_table</t>
  </si>
  <si>
    <t>groupby em duas dimensoes: setor nas linhas, estado nas colunas, media do preco no cruzamento.</t>
  </si>
  <si>
    <t>setor \ estado</t>
  </si>
  <si>
    <t>Celula vazia = nenhuma venda daquele setor naquele estado.</t>
  </si>
  <si>
    <t>df.pivot_table(
    index="setor", columns="estado",
    values="preco_unitario", aggfunc="mean",
)</t>
  </si>
  <si>
    <t>estado       BA     MG     PR     RJ    RS     SP
setor                                            
Acougue     NaN    NaN  12.90  61.60  82.5  13.50
Bebidas     NaN   8.49    NaN  15.34  22.5  10.90
Hortifruti  8.9    NaN    NaN    NaN   NaN   5.69
Laticinios  NaN    NaN   5.19    NaN   NaN  25.07
Limpeza     NaN  14.90    NaN  18.90   NaN   2.49
Padaria     NaN    NaN    NaN    NaN   NaN  14.97</t>
  </si>
  <si>
    <t>14 - Mini-desafio</t>
  </si>
  <si>
    <t>Qual filial vendeu mais vezes em Bebidas, e qual o ticket medio (preco medio) nela?</t>
  </si>
  <si>
    <t>1) filtrar setor = Bebidas   2) Tabela Dinamica: filial nas Linhas   3) id_venda em Valores (Contagem)   4) preco_unitario em Valores (Media)   5) ordenar por contagem</t>
  </si>
  <si>
    <t>bebidas = df[df["setor"] == "Bebidas"]
bebidas.groupby("filial").agg(
    qtd_vendas=("id_venda", "count"),
    ticket_medio=("preco_unitario", "mean"),
).sort_values("qtd_vendas", ascending=False)</t>
  </si>
  <si>
    <t>qtd_vendas</t>
  </si>
  <si>
    <t>ticket_medio</t>
  </si>
  <si>
    <t>Resposta: Filial Shopping - 3 vendas, ticket medio R$ 17.73</t>
  </si>
  <si>
    <t>15 - Chuleta: Excel -&gt; Pandas</t>
  </si>
  <si>
    <t>EXPLORAR E LER</t>
  </si>
  <si>
    <t>ver linhas x colunas</t>
  </si>
  <si>
    <t>df.shape</t>
  </si>
  <si>
    <t>atributo, sem ()</t>
  </si>
  <si>
    <t>df.columns</t>
  </si>
  <si>
    <t>tipo de cada coluna</t>
  </si>
  <si>
    <t>df.dtypes</t>
  </si>
  <si>
    <t>texto=object, decimal=float64</t>
  </si>
  <si>
    <t>primeiras linhas</t>
  </si>
  <si>
    <t>df.head(5)</t>
  </si>
  <si>
    <t>df.tail() ve o fim</t>
  </si>
  <si>
    <t>resumo dos numeros</t>
  </si>
  <si>
    <t>df.describe()</t>
  </si>
  <si>
    <t>contar categorias</t>
  </si>
  <si>
    <t>df["col"].value_counts()</t>
  </si>
  <si>
    <t>abrir CSV / Excel</t>
  </si>
  <si>
    <t>pd.read_csv() / pd.read_excel()</t>
  </si>
  <si>
    <t>sep=";" se preciso</t>
  </si>
  <si>
    <t>df.to_csv("s.csv", index=False)</t>
  </si>
  <si>
    <t>SELECIONAR E FILTRAR</t>
  </si>
  <si>
    <t>uma coluna</t>
  </si>
  <si>
    <t>df["col"]</t>
  </si>
  <si>
    <t>Series</t>
  </si>
  <si>
    <t>varias colunas</t>
  </si>
  <si>
    <t>df[["a", "b"]]</t>
  </si>
  <si>
    <t>lista -&gt; colchete duplo</t>
  </si>
  <si>
    <t>por rotulo</t>
  </si>
  <si>
    <t>df.loc[linhas, colunas]</t>
  </si>
  <si>
    <t>inclui o fim</t>
  </si>
  <si>
    <t>por posicao</t>
  </si>
  <si>
    <t>df.iloc[linhas, colunas]</t>
  </si>
  <si>
    <t>exclui o fim</t>
  </si>
  <si>
    <t>filtrar</t>
  </si>
  <si>
    <t>df[df["preco"] &gt; 20]</t>
  </si>
  <si>
    <t>combinar condicoes</t>
  </si>
  <si>
    <t>(c1) &amp; (c2)   (c1) | (c2)</t>
  </si>
  <si>
    <t>nunca and / or</t>
  </si>
  <si>
    <t>coluna calculada</t>
  </si>
  <si>
    <t>df["t"] = df["p"] * df["q"]</t>
  </si>
  <si>
    <t>ordenar</t>
  </si>
  <si>
    <t>df.sort_values("col", ascending=False)</t>
  </si>
  <si>
    <t>devolve copia</t>
  </si>
  <si>
    <t>DADOS AUSENTES</t>
  </si>
  <si>
    <t>contar vazios</t>
  </si>
  <si>
    <t>df.isnull().sum()</t>
  </si>
  <si>
    <t>remover linhas com vazio</t>
  </si>
  <si>
    <t>df.dropna()</t>
  </si>
  <si>
    <t>reatribua</t>
  </si>
  <si>
    <t>preencher vazios</t>
  </si>
  <si>
    <t>df["col"] = df["col"].fillna(1)</t>
  </si>
  <si>
    <t>AGRUPAR, JUNTAR, CRUZAR</t>
  </si>
  <si>
    <t>agrupar e resumir</t>
  </si>
  <si>
    <t>df.groupby("c")["v"].mean()</t>
  </si>
  <si>
    <t>mean/sum/count/min/max</t>
  </si>
  <si>
    <t>varios resumos</t>
  </si>
  <si>
    <t>df.groupby("c")["v"].agg(["mean","sum"])</t>
  </si>
  <si>
    <t>juntar por chave</t>
  </si>
  <si>
    <t>a.merge(b, on="k", how="left")</t>
  </si>
  <si>
    <t>inner/left/right/outer</t>
  </si>
  <si>
    <t>empilhar tabelas</t>
  </si>
  <si>
    <t>pd.concat([a, b])</t>
  </si>
  <si>
    <t>tabela dinamica 2D</t>
  </si>
  <si>
    <t>df.pivot_table(index=, columns=, values=, aggfunc=)</t>
  </si>
  <si>
    <t>16 - Glossario</t>
  </si>
  <si>
    <t>termo</t>
  </si>
  <si>
    <t>em uma linha</t>
  </si>
  <si>
    <t>uma coluna: valores do mesmo tipo, cada um com um rotulo (index).</t>
  </si>
  <si>
    <t>DataFrame</t>
  </si>
  <si>
    <t>a tabela: varias colunas (Series) com o mesmo index de linhas. E o 'df'.</t>
  </si>
  <si>
    <t>index</t>
  </si>
  <si>
    <t>os rotulos das linhas. Padrao 0, 1, 2, ...</t>
  </si>
  <si>
    <t>dtype</t>
  </si>
  <si>
    <t>tipo da coluna: float64 (decimal), int64 (inteiro), object (texto).</t>
  </si>
  <si>
    <t>shape</t>
  </si>
  <si>
    <t>dupla (linhas, colunas). Atributo, sem parenteses.</t>
  </si>
  <si>
    <t>NaN</t>
  </si>
  <si>
    <t>celula sem valor. Nao e zero nem texto vazio.</t>
  </si>
  <si>
    <t>head(n)</t>
  </si>
  <si>
    <t>primeiras n linhas (padrao 5).</t>
  </si>
  <si>
    <t>resumo dos numeros: count, media, desvio, min, quartis, max.</t>
  </si>
  <si>
    <t>value_counts()</t>
  </si>
  <si>
    <t>conta cada valor de uma coluna de texto.</t>
  </si>
  <si>
    <t>filtro booleano</t>
  </si>
  <si>
    <t>selecionar linhas por uma condicao VERDADEIRO/FALSO.</t>
  </si>
  <si>
    <t>&amp; | ~</t>
  </si>
  <si>
    <t>e / ou / nao para condicoes de coluna. Cada uma entre parenteses. Nunca and/or/not.</t>
  </si>
  <si>
    <t>loc</t>
  </si>
  <si>
    <t>selecao por rotulo do index e nome de coluna. Inclui o fim.</t>
  </si>
  <si>
    <t>iloc</t>
  </si>
  <si>
    <t>selecao por posicao numerica. Exclui o fim, como em listas.</t>
  </si>
  <si>
    <t>groupby</t>
  </si>
  <si>
    <t>separar as linhas em grupos por uma coluna, para resumir cada grupo.</t>
  </si>
  <si>
    <t>agg()</t>
  </si>
  <si>
    <t>pedir varios resumos de uma vez: .agg(['mean', 'count']).</t>
  </si>
  <si>
    <t>merge</t>
  </si>
  <si>
    <t>juntar duas tabelas por uma coluna-chave em comum. O PROCV do Excel.</t>
  </si>
  <si>
    <t>no merge: inner, left, right, outer - o que fazer sem correspondencia.</t>
  </si>
  <si>
    <t>pivot_table</t>
  </si>
  <si>
    <t>tabela dinamica: uma coluna nas linhas, outra nas colunas, uma resumida no cruzamento.</t>
  </si>
  <si>
    <t>vetorizacao</t>
  </si>
  <si>
    <t>aplicar a operacao na coluna inteira de uma vez, sem loop.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</si>
</sst>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FFFFFF"/>
      <name val="Calibri"/>
    </font>
    <font>
      <sz val="11"/>
      <color rgb="FF1F2430"/>
      <name val="Calibri"/>
    </font>
    <font>
      <b/>
      <sz val="11"/>
      <color rgb="FFFFFFFF"/>
      <name val="Calibri"/>
    </font>
    <font>
      <b/>
      <sz val="10"/>
      <color rgb="FFFFFFFF"/>
      <name val="Calibri"/>
    </font>
    <font>
      <sz val="10"/>
      <color rgb="FFE6E6E6"/>
      <name val="Consolas"/>
    </font>
    <font>
      <i/>
      <sz val="10"/>
      <color rgb="FF6B7280"/>
      <name val="Calibri"/>
    </font>
    <font>
      <b/>
      <sz val="11"/>
      <color rgb="FF1F2A44"/>
      <name val="Calibri"/>
    </font>
    <font>
      <sz val="10"/>
      <color rgb="FF1F2430"/>
      <name val="Consolas"/>
    </font>
    <font>
      <b/>
      <sz val="11"/>
      <color rgb="FF5B3A8C"/>
      <name val="Calibri"/>
    </font>
  </fonts>
  <fills count="9">
    <fill>
      <patternFill patternType="none"/>
    </fill>
    <fill>
      <patternFill patternType="gray125"/>
    </fill>
    <fill>
      <patternFill patternType="solid">
        <fgColor rgb="FF1F2A44"/>
      </patternFill>
    </fill>
    <fill>
      <patternFill patternType="solid">
        <fgColor rgb="FF2E7D32"/>
      </patternFill>
    </fill>
    <fill>
      <patternFill patternType="solid">
        <fgColor rgb="FFEAF3EA"/>
      </patternFill>
    </fill>
    <fill>
      <patternFill patternType="solid">
        <fgColor rgb="FF1E1E1E"/>
      </patternFill>
    </fill>
    <fill>
      <patternFill patternType="solid">
        <fgColor rgb="FFE8F0FE"/>
      </patternFill>
    </fill>
    <fill>
      <patternFill patternType="solid">
        <fgColor rgb="FF5B3A8C"/>
      </patternFill>
    </fill>
    <fill>
      <patternFill patternType="solid">
        <fgColor rgb="FFF3E8FD"/>
      </patternFill>
    </fill>
  </fills>
  <borders count="4">
    <border>
      <left/>
      <right/>
      <top/>
      <bottom/>
      <diagonal/>
    </border>
    <border>
      <left style="thin">
        <color rgb="FFAEB9C7"/>
      </left>
      <right style="thin">
        <color rgb="FFAEB9C7"/>
      </right>
      <top style="thin">
        <color rgb="FFAEB9C7"/>
      </top>
      <bottom style="thin">
        <color rgb="FFAEB9C7"/>
      </bottom>
      <diagonal/>
    </border>
    <border>
      <left/>
      <right style="thin">
        <color rgb="FFAEB9C7"/>
      </right>
      <top style="thin">
        <color rgb="FFAEB9C7"/>
      </top>
      <bottom style="thin">
        <color rgb="FFAEB9C7"/>
      </bottom>
      <diagonal/>
    </border>
    <border>
      <left/>
      <right/>
      <top/>
      <bottom style="thin">
        <color rgb="FFAEB9C7"/>
      </bottom>
      <diagonal/>
    </border>
  </borders>
  <cellStyleXfs count="1">
    <xf numFmtId="0" fontId="0" fillId="0" borderId="0"/>
  </cellStyleXfs>
  <cellXfs count="23">
    <xf numFmtId="0" fontId="0" fillId="0" borderId="0" xfId="0"/>
    <xf numFmtId="0" fontId="3"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4" borderId="1" xfId="0" applyFont="1" applyFill="1" applyBorder="1" applyAlignment="1">
      <alignment horizontal="left" vertical="center"/>
    </xf>
    <xf numFmtId="0" fontId="2" fillId="0" borderId="1" xfId="0" applyFont="1" applyBorder="1" applyAlignment="1">
      <alignment horizontal="right" vertical="center"/>
    </xf>
    <xf numFmtId="0" fontId="2" fillId="4" borderId="1" xfId="0" applyFont="1" applyFill="1" applyBorder="1" applyAlignment="1">
      <alignment horizontal="right" vertical="center"/>
    </xf>
    <xf numFmtId="0" fontId="8" fillId="6" borderId="1" xfId="0" applyFont="1" applyFill="1" applyBorder="1" applyAlignment="1">
      <alignment vertical="center"/>
    </xf>
    <xf numFmtId="0" fontId="2" fillId="0" borderId="1" xfId="0" applyFont="1" applyBorder="1" applyAlignment="1">
      <alignment vertical="center"/>
    </xf>
    <xf numFmtId="0" fontId="6" fillId="0" borderId="1" xfId="0" applyFont="1" applyBorder="1" applyAlignment="1">
      <alignment vertical="center"/>
    </xf>
    <xf numFmtId="0" fontId="5" fillId="5" borderId="1" xfId="0" applyFont="1" applyFill="1" applyBorder="1" applyAlignment="1">
      <alignment vertical="top" wrapText="1"/>
    </xf>
    <xf numFmtId="0" fontId="2" fillId="0" borderId="0" xfId="0" applyFont="1" applyAlignment="1">
      <alignment horizontal="left" vertical="center" wrapText="1"/>
    </xf>
    <xf numFmtId="0" fontId="0" fillId="0" borderId="0" xfId="0"/>
    <xf numFmtId="0" fontId="1" fillId="2" borderId="0" xfId="0" applyFont="1" applyFill="1" applyAlignment="1">
      <alignment vertical="center"/>
    </xf>
    <xf numFmtId="0" fontId="4" fillId="3" borderId="3" xfId="0" applyFont="1" applyFill="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4" fillId="7" borderId="0" xfId="0" applyFont="1" applyFill="1" applyAlignment="1">
      <alignment horizontal="center" vertical="center"/>
    </xf>
    <xf numFmtId="0" fontId="8" fillId="8" borderId="1" xfId="0" applyFont="1" applyFill="1" applyBorder="1" applyAlignment="1">
      <alignment vertical="top" wrapText="1"/>
    </xf>
    <xf numFmtId="0" fontId="4" fillId="3" borderId="0" xfId="0" applyFont="1" applyFill="1" applyAlignment="1">
      <alignment horizontal="center" vertical="center"/>
    </xf>
    <xf numFmtId="0" fontId="8" fillId="6" borderId="1" xfId="0" applyFont="1" applyFill="1" applyBorder="1" applyAlignment="1">
      <alignment vertical="center"/>
    </xf>
    <xf numFmtId="0" fontId="0" fillId="0" borderId="2" xfId="0" applyBorder="1"/>
    <xf numFmtId="0" fontId="9" fillId="8" borderId="0" xfId="0" applyFont="1" applyFill="1" applyAlignment="1">
      <alignment vertical="center"/>
    </xf>
    <xf numFmtId="0" fontId="3"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46"/>
  <sheetViews>
    <sheetView showGridLines="0" workbookViewId="0">
      <pane xSplit="1" ySplit="6" topLeftCell="B7" activePane="bottomRight" state="frozen"/>
      <selection pane="topRight"/>
      <selection pane="bottomLeft"/>
      <selection pane="bottomRight" activeCell="O10" sqref="O10"/>
    </sheetView>
  </sheetViews>
  <sheetFormatPr defaultRowHeight="14.5" x14ac:dyDescent="0.35"/>
  <cols>
    <col min="1" max="1" width="2" customWidth="1"/>
    <col min="2" max="2" width="5" customWidth="1"/>
    <col min="3" max="3" width="9" customWidth="1"/>
    <col min="4" max="4" width="11" customWidth="1"/>
    <col min="5" max="5" width="17" customWidth="1"/>
    <col min="6" max="6" width="12" customWidth="1"/>
    <col min="7" max="7" width="14" customWidth="1"/>
    <col min="8" max="8" width="11" customWidth="1"/>
    <col min="9" max="9" width="15" customWidth="1"/>
    <col min="10" max="10" width="7" customWidth="1"/>
    <col min="11" max="11" width="9" customWidth="1"/>
  </cols>
  <sheetData>
    <row r="2" spans="2:11" ht="28" customHeight="1" x14ac:dyDescent="0.35">
      <c r="B2" s="12" t="s">
        <v>0</v>
      </c>
      <c r="C2" s="12"/>
      <c r="D2" s="12"/>
      <c r="E2" s="12"/>
      <c r="F2" s="12"/>
      <c r="G2" s="12"/>
      <c r="H2" s="12"/>
      <c r="I2" s="12"/>
      <c r="J2" s="12"/>
    </row>
    <row r="4" spans="2:11" ht="12.5" customHeight="1" x14ac:dyDescent="0.35">
      <c r="B4" s="10" t="s">
        <v>1</v>
      </c>
      <c r="C4" s="11"/>
      <c r="D4" s="11"/>
      <c r="E4" s="11"/>
      <c r="F4" s="11"/>
      <c r="G4" s="11"/>
      <c r="H4" s="11"/>
      <c r="I4" s="11"/>
      <c r="J4" s="11"/>
    </row>
    <row r="5" spans="2:11" ht="10" customHeight="1" x14ac:dyDescent="0.35"/>
    <row r="6" spans="2:11" ht="18" customHeight="1" x14ac:dyDescent="0.35">
      <c r="B6" s="1" t="s">
        <v>2</v>
      </c>
      <c r="C6" s="1" t="s">
        <v>3</v>
      </c>
      <c r="D6" s="1" t="s">
        <v>4</v>
      </c>
      <c r="E6" s="1" t="s">
        <v>5</v>
      </c>
      <c r="F6" s="1" t="s">
        <v>6</v>
      </c>
      <c r="G6" s="1" t="s">
        <v>7</v>
      </c>
      <c r="H6" s="1" t="s">
        <v>8</v>
      </c>
      <c r="I6" s="1" t="s">
        <v>9</v>
      </c>
      <c r="J6" s="1" t="s">
        <v>10</v>
      </c>
      <c r="K6" s="1" t="s">
        <v>11</v>
      </c>
    </row>
    <row r="7" spans="2:11" ht="17" customHeight="1" x14ac:dyDescent="0.35">
      <c r="B7" s="4">
        <v>0</v>
      </c>
      <c r="C7" s="4">
        <v>2001</v>
      </c>
      <c r="D7" s="2" t="s">
        <v>12</v>
      </c>
      <c r="E7" s="2" t="s">
        <v>13</v>
      </c>
      <c r="F7" s="2" t="s">
        <v>14</v>
      </c>
      <c r="G7" s="4">
        <v>5.99</v>
      </c>
      <c r="H7" s="4">
        <v>12</v>
      </c>
      <c r="I7" s="2" t="s">
        <v>15</v>
      </c>
      <c r="J7" s="2" t="s">
        <v>16</v>
      </c>
      <c r="K7" s="2" t="s">
        <v>17</v>
      </c>
    </row>
    <row r="8" spans="2:11" ht="17" customHeight="1" x14ac:dyDescent="0.35">
      <c r="B8" s="5">
        <v>1</v>
      </c>
      <c r="C8" s="5">
        <v>2002</v>
      </c>
      <c r="D8" s="3" t="s">
        <v>18</v>
      </c>
      <c r="E8" s="3" t="s">
        <v>19</v>
      </c>
      <c r="F8" s="3" t="s">
        <v>20</v>
      </c>
      <c r="G8" s="5">
        <v>79.900000000000006</v>
      </c>
      <c r="H8" s="5">
        <v>2</v>
      </c>
      <c r="I8" s="3" t="s">
        <v>21</v>
      </c>
      <c r="J8" s="3" t="s">
        <v>22</v>
      </c>
      <c r="K8" s="3" t="s">
        <v>23</v>
      </c>
    </row>
    <row r="9" spans="2:11" ht="17" customHeight="1" x14ac:dyDescent="0.35">
      <c r="B9" s="4">
        <v>2</v>
      </c>
      <c r="C9" s="4">
        <v>2003</v>
      </c>
      <c r="D9" s="2" t="s">
        <v>24</v>
      </c>
      <c r="E9" s="2" t="s">
        <v>25</v>
      </c>
      <c r="F9" s="2" t="s">
        <v>26</v>
      </c>
      <c r="G9" s="4">
        <v>8.49</v>
      </c>
      <c r="H9" s="4">
        <v>6</v>
      </c>
      <c r="I9" s="2" t="s">
        <v>27</v>
      </c>
      <c r="J9" s="2" t="s">
        <v>28</v>
      </c>
      <c r="K9" s="2"/>
    </row>
    <row r="10" spans="2:11" ht="17" customHeight="1" x14ac:dyDescent="0.35">
      <c r="B10" s="5">
        <v>3</v>
      </c>
      <c r="C10" s="5">
        <v>2004</v>
      </c>
      <c r="D10" s="3" t="s">
        <v>29</v>
      </c>
      <c r="E10" s="3" t="s">
        <v>30</v>
      </c>
      <c r="F10" s="3" t="s">
        <v>31</v>
      </c>
      <c r="G10" s="5">
        <v>4.99</v>
      </c>
      <c r="H10" s="5">
        <v>10</v>
      </c>
      <c r="I10" s="3" t="s">
        <v>32</v>
      </c>
      <c r="J10" s="3" t="s">
        <v>16</v>
      </c>
      <c r="K10" s="3" t="s">
        <v>33</v>
      </c>
    </row>
    <row r="11" spans="2:11" ht="17" customHeight="1" x14ac:dyDescent="0.35">
      <c r="B11" s="4">
        <v>4</v>
      </c>
      <c r="C11" s="4">
        <v>2005</v>
      </c>
      <c r="D11" s="2" t="s">
        <v>34</v>
      </c>
      <c r="E11" s="2" t="s">
        <v>35</v>
      </c>
      <c r="F11" s="2" t="s">
        <v>36</v>
      </c>
      <c r="G11" s="4">
        <v>2.4900000000000002</v>
      </c>
      <c r="H11" s="2"/>
      <c r="I11" s="2" t="s">
        <v>15</v>
      </c>
      <c r="J11" s="2" t="s">
        <v>16</v>
      </c>
      <c r="K11" s="2" t="s">
        <v>37</v>
      </c>
    </row>
    <row r="12" spans="2:11" ht="17" customHeight="1" x14ac:dyDescent="0.35">
      <c r="B12" s="5">
        <v>5</v>
      </c>
      <c r="C12" s="5">
        <v>2006</v>
      </c>
      <c r="D12" s="3" t="s">
        <v>38</v>
      </c>
      <c r="E12" s="3" t="s">
        <v>39</v>
      </c>
      <c r="F12" s="3" t="s">
        <v>40</v>
      </c>
      <c r="G12" s="5">
        <v>15.9</v>
      </c>
      <c r="H12" s="5">
        <v>3</v>
      </c>
      <c r="I12" s="3" t="s">
        <v>32</v>
      </c>
      <c r="J12" s="3" t="s">
        <v>16</v>
      </c>
      <c r="K12" s="3" t="s">
        <v>17</v>
      </c>
    </row>
    <row r="13" spans="2:11" ht="17" customHeight="1" x14ac:dyDescent="0.35">
      <c r="B13" s="4">
        <v>6</v>
      </c>
      <c r="C13" s="4">
        <v>2007</v>
      </c>
      <c r="D13" s="2" t="s">
        <v>41</v>
      </c>
      <c r="E13" s="2" t="s">
        <v>42</v>
      </c>
      <c r="F13" s="2" t="s">
        <v>26</v>
      </c>
      <c r="G13" s="4">
        <v>21.9</v>
      </c>
      <c r="H13" s="4">
        <v>4</v>
      </c>
      <c r="I13" s="2" t="s">
        <v>21</v>
      </c>
      <c r="J13" s="2" t="s">
        <v>22</v>
      </c>
      <c r="K13" s="2"/>
    </row>
    <row r="14" spans="2:11" ht="17" customHeight="1" x14ac:dyDescent="0.35">
      <c r="B14" s="5">
        <v>7</v>
      </c>
      <c r="C14" s="5">
        <v>2008</v>
      </c>
      <c r="D14" s="3" t="s">
        <v>43</v>
      </c>
      <c r="E14" s="3" t="s">
        <v>44</v>
      </c>
      <c r="F14" s="3" t="s">
        <v>31</v>
      </c>
      <c r="G14" s="5">
        <v>44.9</v>
      </c>
      <c r="H14" s="5">
        <v>2</v>
      </c>
      <c r="I14" s="3" t="s">
        <v>15</v>
      </c>
      <c r="J14" s="3" t="s">
        <v>16</v>
      </c>
      <c r="K14" s="3" t="s">
        <v>33</v>
      </c>
    </row>
    <row r="15" spans="2:11" ht="17" customHeight="1" x14ac:dyDescent="0.35">
      <c r="B15" s="4">
        <v>8</v>
      </c>
      <c r="C15" s="4">
        <v>2009</v>
      </c>
      <c r="D15" s="2" t="s">
        <v>45</v>
      </c>
      <c r="E15" s="2" t="s">
        <v>46</v>
      </c>
      <c r="F15" s="2" t="s">
        <v>20</v>
      </c>
      <c r="G15" s="4">
        <v>12.9</v>
      </c>
      <c r="H15" s="4">
        <v>5</v>
      </c>
      <c r="I15" s="2" t="s">
        <v>27</v>
      </c>
      <c r="J15" s="2" t="s">
        <v>47</v>
      </c>
      <c r="K15" s="2" t="s">
        <v>23</v>
      </c>
    </row>
    <row r="16" spans="2:11" ht="17" customHeight="1" x14ac:dyDescent="0.35">
      <c r="B16" s="5">
        <v>9</v>
      </c>
      <c r="C16" s="5">
        <v>2010</v>
      </c>
      <c r="D16" s="3" t="s">
        <v>48</v>
      </c>
      <c r="E16" s="3" t="s">
        <v>49</v>
      </c>
      <c r="F16" s="3" t="s">
        <v>14</v>
      </c>
      <c r="G16" s="5">
        <v>7.49</v>
      </c>
      <c r="H16" s="5">
        <v>8</v>
      </c>
      <c r="I16" s="3" t="s">
        <v>32</v>
      </c>
      <c r="J16" s="3" t="s">
        <v>16</v>
      </c>
      <c r="K16" s="3" t="s">
        <v>50</v>
      </c>
    </row>
    <row r="17" spans="2:11" ht="17" customHeight="1" x14ac:dyDescent="0.35">
      <c r="B17" s="4">
        <v>10</v>
      </c>
      <c r="C17" s="4">
        <v>2011</v>
      </c>
      <c r="D17" s="2" t="s">
        <v>51</v>
      </c>
      <c r="E17" s="2" t="s">
        <v>52</v>
      </c>
      <c r="F17" s="2" t="s">
        <v>36</v>
      </c>
      <c r="G17" s="4">
        <v>18.899999999999999</v>
      </c>
      <c r="H17" s="4">
        <v>2</v>
      </c>
      <c r="I17" s="2" t="s">
        <v>21</v>
      </c>
      <c r="J17" s="2" t="s">
        <v>22</v>
      </c>
      <c r="K17" s="2" t="s">
        <v>37</v>
      </c>
    </row>
    <row r="18" spans="2:11" ht="17" customHeight="1" x14ac:dyDescent="0.35">
      <c r="B18" s="5">
        <v>11</v>
      </c>
      <c r="C18" s="5">
        <v>2012</v>
      </c>
      <c r="D18" s="3" t="s">
        <v>53</v>
      </c>
      <c r="E18" s="3" t="s">
        <v>54</v>
      </c>
      <c r="F18" s="3" t="s">
        <v>26</v>
      </c>
      <c r="G18" s="5">
        <v>11.9</v>
      </c>
      <c r="H18" s="5">
        <v>3</v>
      </c>
      <c r="I18" s="3" t="s">
        <v>15</v>
      </c>
      <c r="J18" s="3" t="s">
        <v>16</v>
      </c>
      <c r="K18" s="3" t="s">
        <v>17</v>
      </c>
    </row>
    <row r="19" spans="2:11" ht="17" customHeight="1" x14ac:dyDescent="0.35">
      <c r="B19" s="4">
        <v>12</v>
      </c>
      <c r="C19" s="4">
        <v>2013</v>
      </c>
      <c r="D19" s="2" t="s">
        <v>55</v>
      </c>
      <c r="E19" s="2" t="s">
        <v>19</v>
      </c>
      <c r="F19" s="2" t="s">
        <v>20</v>
      </c>
      <c r="G19" s="4">
        <v>82.5</v>
      </c>
      <c r="H19" s="4">
        <v>1</v>
      </c>
      <c r="I19" s="2" t="s">
        <v>21</v>
      </c>
      <c r="J19" s="2" t="s">
        <v>56</v>
      </c>
      <c r="K19" s="2" t="s">
        <v>50</v>
      </c>
    </row>
    <row r="20" spans="2:11" ht="17" customHeight="1" x14ac:dyDescent="0.35">
      <c r="B20" s="5">
        <v>13</v>
      </c>
      <c r="C20" s="5">
        <v>2014</v>
      </c>
      <c r="D20" s="3" t="s">
        <v>57</v>
      </c>
      <c r="E20" s="3" t="s">
        <v>58</v>
      </c>
      <c r="F20" s="3" t="s">
        <v>14</v>
      </c>
      <c r="G20" s="5">
        <v>8.9</v>
      </c>
      <c r="H20" s="5">
        <v>6</v>
      </c>
      <c r="I20" s="3" t="s">
        <v>27</v>
      </c>
      <c r="J20" s="3" t="s">
        <v>59</v>
      </c>
      <c r="K20" s="3"/>
    </row>
    <row r="21" spans="2:11" ht="17" customHeight="1" x14ac:dyDescent="0.35">
      <c r="B21" s="4">
        <v>14</v>
      </c>
      <c r="C21" s="4">
        <v>2015</v>
      </c>
      <c r="D21" s="2" t="s">
        <v>60</v>
      </c>
      <c r="E21" s="2" t="s">
        <v>61</v>
      </c>
      <c r="F21" s="2" t="s">
        <v>40</v>
      </c>
      <c r="G21" s="4">
        <v>12.5</v>
      </c>
      <c r="H21" s="4">
        <v>4</v>
      </c>
      <c r="I21" s="2" t="s">
        <v>32</v>
      </c>
      <c r="J21" s="2" t="s">
        <v>16</v>
      </c>
      <c r="K21" s="2" t="s">
        <v>33</v>
      </c>
    </row>
    <row r="22" spans="2:11" ht="17" customHeight="1" x14ac:dyDescent="0.35">
      <c r="B22" s="5">
        <v>15</v>
      </c>
      <c r="C22" s="5">
        <v>2016</v>
      </c>
      <c r="D22" s="3" t="s">
        <v>62</v>
      </c>
      <c r="E22" s="3" t="s">
        <v>63</v>
      </c>
      <c r="F22" s="3" t="s">
        <v>26</v>
      </c>
      <c r="G22" s="5">
        <v>9.9</v>
      </c>
      <c r="H22" s="3"/>
      <c r="I22" s="3" t="s">
        <v>15</v>
      </c>
      <c r="J22" s="3" t="s">
        <v>16</v>
      </c>
      <c r="K22" s="3" t="s">
        <v>23</v>
      </c>
    </row>
    <row r="23" spans="2:11" ht="17" customHeight="1" x14ac:dyDescent="0.35">
      <c r="B23" s="4">
        <v>16</v>
      </c>
      <c r="C23" s="4">
        <v>2017</v>
      </c>
      <c r="D23" s="2" t="s">
        <v>64</v>
      </c>
      <c r="E23" s="2" t="s">
        <v>65</v>
      </c>
      <c r="F23" s="2" t="s">
        <v>31</v>
      </c>
      <c r="G23" s="4">
        <v>3.49</v>
      </c>
      <c r="H23" s="4">
        <v>20</v>
      </c>
      <c r="I23" s="2" t="s">
        <v>32</v>
      </c>
      <c r="J23" s="2" t="s">
        <v>16</v>
      </c>
      <c r="K23" s="2" t="s">
        <v>17</v>
      </c>
    </row>
    <row r="24" spans="2:11" ht="17" customHeight="1" x14ac:dyDescent="0.35">
      <c r="B24" s="5">
        <v>17</v>
      </c>
      <c r="C24" s="5">
        <v>2018</v>
      </c>
      <c r="D24" s="3" t="s">
        <v>66</v>
      </c>
      <c r="E24" s="3" t="s">
        <v>67</v>
      </c>
      <c r="F24" s="3" t="s">
        <v>20</v>
      </c>
      <c r="G24" s="5">
        <v>24.9</v>
      </c>
      <c r="H24" s="5">
        <v>3</v>
      </c>
      <c r="I24" s="3" t="s">
        <v>21</v>
      </c>
      <c r="J24" s="3" t="s">
        <v>22</v>
      </c>
      <c r="K24" s="3" t="s">
        <v>37</v>
      </c>
    </row>
    <row r="25" spans="2:11" ht="17" customHeight="1" x14ac:dyDescent="0.35">
      <c r="B25" s="4">
        <v>18</v>
      </c>
      <c r="C25" s="4">
        <v>2019</v>
      </c>
      <c r="D25" s="2" t="s">
        <v>68</v>
      </c>
      <c r="E25" s="2" t="s">
        <v>69</v>
      </c>
      <c r="F25" s="2" t="s">
        <v>36</v>
      </c>
      <c r="G25" s="4">
        <v>14.9</v>
      </c>
      <c r="H25" s="4">
        <v>2</v>
      </c>
      <c r="I25" s="2" t="s">
        <v>27</v>
      </c>
      <c r="J25" s="2" t="s">
        <v>28</v>
      </c>
      <c r="K25" s="2" t="s">
        <v>50</v>
      </c>
    </row>
    <row r="26" spans="2:11" ht="17" customHeight="1" x14ac:dyDescent="0.35">
      <c r="B26" s="5">
        <v>19</v>
      </c>
      <c r="C26" s="5">
        <v>2020</v>
      </c>
      <c r="D26" s="3" t="s">
        <v>70</v>
      </c>
      <c r="E26" s="3" t="s">
        <v>13</v>
      </c>
      <c r="F26" s="3" t="s">
        <v>14</v>
      </c>
      <c r="G26" s="5">
        <v>6.29</v>
      </c>
      <c r="H26" s="5">
        <v>15</v>
      </c>
      <c r="I26" s="3" t="s">
        <v>15</v>
      </c>
      <c r="J26" s="3" t="s">
        <v>16</v>
      </c>
      <c r="K26" s="3" t="s">
        <v>33</v>
      </c>
    </row>
    <row r="27" spans="2:11" ht="17" customHeight="1" x14ac:dyDescent="0.35">
      <c r="B27" s="4">
        <v>20</v>
      </c>
      <c r="C27" s="4">
        <v>2021</v>
      </c>
      <c r="D27" s="2" t="s">
        <v>71</v>
      </c>
      <c r="E27" s="2" t="s">
        <v>25</v>
      </c>
      <c r="F27" s="2" t="s">
        <v>26</v>
      </c>
      <c r="G27" s="4">
        <v>8.7899999999999991</v>
      </c>
      <c r="H27" s="4">
        <v>10</v>
      </c>
      <c r="I27" s="2" t="s">
        <v>21</v>
      </c>
      <c r="J27" s="2" t="s">
        <v>22</v>
      </c>
      <c r="K27" s="2" t="s">
        <v>23</v>
      </c>
    </row>
    <row r="28" spans="2:11" ht="17" customHeight="1" x14ac:dyDescent="0.35">
      <c r="B28" s="5">
        <v>21</v>
      </c>
      <c r="C28" s="5">
        <v>2022</v>
      </c>
      <c r="D28" s="3" t="s">
        <v>72</v>
      </c>
      <c r="E28" s="3" t="s">
        <v>39</v>
      </c>
      <c r="F28" s="3" t="s">
        <v>40</v>
      </c>
      <c r="G28" s="5">
        <v>16.5</v>
      </c>
      <c r="H28" s="5">
        <v>2</v>
      </c>
      <c r="I28" s="3" t="s">
        <v>32</v>
      </c>
      <c r="J28" s="3" t="s">
        <v>16</v>
      </c>
      <c r="K28" s="3" t="s">
        <v>17</v>
      </c>
    </row>
    <row r="29" spans="2:11" ht="17" customHeight="1" x14ac:dyDescent="0.35">
      <c r="B29" s="4">
        <v>22</v>
      </c>
      <c r="C29" s="4">
        <v>2023</v>
      </c>
      <c r="D29" s="2" t="s">
        <v>73</v>
      </c>
      <c r="E29" s="2" t="s">
        <v>46</v>
      </c>
      <c r="F29" s="2" t="s">
        <v>20</v>
      </c>
      <c r="G29" s="4">
        <v>13.5</v>
      </c>
      <c r="H29" s="4">
        <v>4</v>
      </c>
      <c r="I29" s="2" t="s">
        <v>15</v>
      </c>
      <c r="J29" s="2" t="s">
        <v>16</v>
      </c>
      <c r="K29" s="2" t="s">
        <v>37</v>
      </c>
    </row>
    <row r="30" spans="2:11" ht="17" customHeight="1" x14ac:dyDescent="0.35">
      <c r="B30" s="5">
        <v>23</v>
      </c>
      <c r="C30" s="5">
        <v>2024</v>
      </c>
      <c r="D30" s="3" t="s">
        <v>74</v>
      </c>
      <c r="E30" s="3" t="s">
        <v>30</v>
      </c>
      <c r="F30" s="3" t="s">
        <v>31</v>
      </c>
      <c r="G30" s="5">
        <v>5.19</v>
      </c>
      <c r="H30" s="5">
        <v>12</v>
      </c>
      <c r="I30" s="3" t="s">
        <v>27</v>
      </c>
      <c r="J30" s="3" t="s">
        <v>47</v>
      </c>
      <c r="K30" s="3" t="s">
        <v>33</v>
      </c>
    </row>
    <row r="31" spans="2:11" ht="17" customHeight="1" x14ac:dyDescent="0.35">
      <c r="B31" s="4">
        <v>24</v>
      </c>
      <c r="C31" s="4">
        <v>2025</v>
      </c>
      <c r="D31" s="2" t="s">
        <v>75</v>
      </c>
      <c r="E31" s="2" t="s">
        <v>42</v>
      </c>
      <c r="F31" s="2" t="s">
        <v>26</v>
      </c>
      <c r="G31" s="4">
        <v>22.5</v>
      </c>
      <c r="H31" s="4">
        <v>6</v>
      </c>
      <c r="I31" s="2" t="s">
        <v>21</v>
      </c>
      <c r="J31" s="2" t="s">
        <v>56</v>
      </c>
      <c r="K31" s="2" t="s">
        <v>50</v>
      </c>
    </row>
    <row r="32" spans="2:11" ht="17" customHeight="1" x14ac:dyDescent="0.35">
      <c r="B32" s="5">
        <v>25</v>
      </c>
      <c r="C32" s="5">
        <v>2026</v>
      </c>
      <c r="D32" s="3" t="s">
        <v>76</v>
      </c>
      <c r="E32" s="3" t="s">
        <v>44</v>
      </c>
      <c r="F32" s="3" t="s">
        <v>31</v>
      </c>
      <c r="G32" s="5">
        <v>46.9</v>
      </c>
      <c r="H32" s="5">
        <v>1</v>
      </c>
      <c r="I32" s="3" t="s">
        <v>32</v>
      </c>
      <c r="J32" s="3" t="s">
        <v>16</v>
      </c>
      <c r="K32" s="3" t="s">
        <v>33</v>
      </c>
    </row>
    <row r="33" spans="2:11" ht="17" customHeight="1" x14ac:dyDescent="0.35">
      <c r="B33" s="4">
        <v>26</v>
      </c>
      <c r="C33" s="4">
        <v>2027</v>
      </c>
      <c r="D33" s="2" t="s">
        <v>77</v>
      </c>
      <c r="E33" s="2" t="s">
        <v>78</v>
      </c>
      <c r="F33" s="2" t="s">
        <v>14</v>
      </c>
      <c r="G33" s="4">
        <v>2.99</v>
      </c>
      <c r="H33" s="4">
        <v>9</v>
      </c>
      <c r="I33" s="2" t="s">
        <v>15</v>
      </c>
      <c r="J33" s="2" t="s">
        <v>16</v>
      </c>
      <c r="K33" s="2" t="s">
        <v>23</v>
      </c>
    </row>
    <row r="34" spans="2:11" ht="17" customHeight="1" x14ac:dyDescent="0.35">
      <c r="B34" s="5">
        <v>27</v>
      </c>
      <c r="C34" s="5">
        <v>2028</v>
      </c>
      <c r="D34" s="3" t="s">
        <v>79</v>
      </c>
      <c r="E34" s="3" t="s">
        <v>19</v>
      </c>
      <c r="F34" s="3" t="s">
        <v>20</v>
      </c>
      <c r="G34" s="5">
        <v>80</v>
      </c>
      <c r="H34" s="5">
        <v>2</v>
      </c>
      <c r="I34" s="3" t="s">
        <v>21</v>
      </c>
      <c r="J34" s="3" t="s">
        <v>22</v>
      </c>
      <c r="K34" s="3" t="s">
        <v>17</v>
      </c>
    </row>
    <row r="36" spans="2:11" ht="18" customHeight="1" x14ac:dyDescent="0.35">
      <c r="B36" s="13" t="s">
        <v>80</v>
      </c>
      <c r="C36" s="13"/>
      <c r="D36" s="13"/>
      <c r="E36" s="13"/>
      <c r="F36" s="13"/>
    </row>
    <row r="37" spans="2:11" ht="15" customHeight="1" x14ac:dyDescent="0.35">
      <c r="B37" s="9" t="s">
        <v>81</v>
      </c>
      <c r="C37" s="9"/>
      <c r="D37" s="9"/>
      <c r="E37" s="9"/>
      <c r="F37" s="9"/>
    </row>
    <row r="38" spans="2:11" ht="15" customHeight="1" x14ac:dyDescent="0.35">
      <c r="B38" s="9"/>
      <c r="C38" s="9"/>
      <c r="D38" s="9"/>
      <c r="E38" s="9"/>
      <c r="F38" s="9"/>
    </row>
    <row r="39" spans="2:11" ht="15" customHeight="1" x14ac:dyDescent="0.35">
      <c r="B39" s="9"/>
      <c r="C39" s="9"/>
      <c r="D39" s="9"/>
      <c r="E39" s="9"/>
      <c r="F39" s="9"/>
    </row>
    <row r="40" spans="2:11" ht="15" customHeight="1" x14ac:dyDescent="0.35">
      <c r="B40" s="9"/>
      <c r="C40" s="9"/>
      <c r="D40" s="9"/>
      <c r="E40" s="9"/>
      <c r="F40" s="9"/>
    </row>
    <row r="41" spans="2:11" ht="15" customHeight="1" x14ac:dyDescent="0.35">
      <c r="B41" s="9"/>
      <c r="C41" s="9"/>
      <c r="D41" s="9"/>
      <c r="E41" s="9"/>
      <c r="F41" s="9"/>
    </row>
    <row r="42" spans="2:11" ht="15" customHeight="1" x14ac:dyDescent="0.35">
      <c r="B42" s="9"/>
      <c r="C42" s="9"/>
      <c r="D42" s="9"/>
      <c r="E42" s="9"/>
      <c r="F42" s="9"/>
    </row>
    <row r="43" spans="2:11" ht="15" customHeight="1" x14ac:dyDescent="0.35">
      <c r="B43" s="9"/>
      <c r="C43" s="9"/>
      <c r="D43" s="9"/>
      <c r="E43" s="9"/>
      <c r="F43" s="9"/>
    </row>
    <row r="44" spans="2:11" ht="15" customHeight="1" x14ac:dyDescent="0.35">
      <c r="B44" s="9"/>
      <c r="C44" s="9"/>
      <c r="D44" s="9"/>
      <c r="E44" s="9"/>
      <c r="F44" s="9"/>
    </row>
    <row r="45" spans="2:11" ht="15" customHeight="1" x14ac:dyDescent="0.35">
      <c r="B45" s="9"/>
      <c r="C45" s="9"/>
      <c r="D45" s="9"/>
      <c r="E45" s="9"/>
      <c r="F45" s="9"/>
    </row>
    <row r="46" spans="2:11" ht="15" customHeight="1" x14ac:dyDescent="0.35">
      <c r="B46" s="9"/>
      <c r="C46" s="9"/>
      <c r="D46" s="9"/>
      <c r="E46" s="9"/>
      <c r="F46" s="9"/>
    </row>
  </sheetData>
  <mergeCells count="4">
    <mergeCell ref="B37:F46"/>
    <mergeCell ref="B4:J4"/>
    <mergeCell ref="B2:J2"/>
    <mergeCell ref="B36:F3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9"/>
  <sheetViews>
    <sheetView showGridLines="0" workbookViewId="0">
      <selection activeCell="G18" sqref="G18"/>
    </sheetView>
  </sheetViews>
  <sheetFormatPr defaultRowHeight="14.5" x14ac:dyDescent="0.35"/>
  <cols>
    <col min="1" max="1" width="2" customWidth="1"/>
    <col min="2" max="2" width="12" customWidth="1"/>
    <col min="3" max="3" width="16" customWidth="1"/>
    <col min="4" max="5" width="11" customWidth="1"/>
    <col min="6" max="6" width="14" customWidth="1"/>
    <col min="8" max="8" width="10" customWidth="1"/>
    <col min="9" max="9" width="16" customWidth="1"/>
    <col min="10" max="10" width="18" customWidth="1"/>
    <col min="11" max="11" width="9" customWidth="1"/>
    <col min="12" max="12" width="12" customWidth="1"/>
  </cols>
  <sheetData>
    <row r="2" spans="2:12" ht="28" customHeight="1" x14ac:dyDescent="0.35">
      <c r="B2" s="12" t="s">
        <v>82</v>
      </c>
      <c r="C2" s="12"/>
      <c r="D2" s="12"/>
      <c r="E2" s="12"/>
      <c r="F2" s="12"/>
      <c r="G2" s="12"/>
      <c r="H2" s="12"/>
      <c r="I2" s="12"/>
      <c r="J2" s="12"/>
    </row>
    <row r="3" spans="2:12" ht="8.5" customHeight="1" x14ac:dyDescent="0.35"/>
    <row r="4" spans="2:12" ht="18" customHeight="1" x14ac:dyDescent="0.35">
      <c r="B4" s="10" t="s">
        <v>83</v>
      </c>
      <c r="C4" s="11"/>
      <c r="D4" s="11"/>
      <c r="E4" s="11"/>
      <c r="F4" s="11"/>
      <c r="G4" s="11"/>
      <c r="H4" s="11"/>
      <c r="I4" s="11"/>
      <c r="J4" s="11"/>
    </row>
    <row r="5" spans="2:12" ht="5" customHeight="1" x14ac:dyDescent="0.35"/>
    <row r="6" spans="2:12" ht="16" customHeight="1" x14ac:dyDescent="0.35">
      <c r="B6" s="14" t="s">
        <v>84</v>
      </c>
      <c r="C6" s="11"/>
      <c r="D6" s="11"/>
      <c r="E6" s="11"/>
      <c r="F6" s="11"/>
      <c r="H6" s="14" t="s">
        <v>85</v>
      </c>
      <c r="I6" s="11"/>
      <c r="J6" s="11"/>
      <c r="K6" s="11"/>
      <c r="L6" s="11"/>
    </row>
    <row r="7" spans="2:12" ht="18" customHeight="1" x14ac:dyDescent="0.35">
      <c r="B7" s="1" t="s">
        <v>86</v>
      </c>
      <c r="C7" s="1" t="s">
        <v>87</v>
      </c>
      <c r="D7" s="1" t="s">
        <v>88</v>
      </c>
      <c r="E7" s="1" t="s">
        <v>89</v>
      </c>
      <c r="F7" s="1" t="s">
        <v>90</v>
      </c>
      <c r="H7" s="1" t="s">
        <v>88</v>
      </c>
      <c r="I7" s="1" t="s">
        <v>91</v>
      </c>
      <c r="J7" s="1" t="s">
        <v>92</v>
      </c>
      <c r="K7" s="1" t="s">
        <v>10</v>
      </c>
      <c r="L7" s="1" t="s">
        <v>93</v>
      </c>
    </row>
    <row r="8" spans="2:12" ht="17" customHeight="1" x14ac:dyDescent="0.35">
      <c r="B8" s="4">
        <v>1</v>
      </c>
      <c r="C8" s="2" t="s">
        <v>94</v>
      </c>
      <c r="D8" s="4">
        <v>1</v>
      </c>
      <c r="E8" s="4">
        <v>2650</v>
      </c>
      <c r="F8" s="4">
        <v>2021</v>
      </c>
      <c r="H8" s="4">
        <v>1</v>
      </c>
      <c r="I8" s="2" t="s">
        <v>15</v>
      </c>
      <c r="J8" s="2" t="s">
        <v>95</v>
      </c>
      <c r="K8" s="2" t="s">
        <v>16</v>
      </c>
      <c r="L8" s="2" t="s">
        <v>96</v>
      </c>
    </row>
    <row r="9" spans="2:12" ht="17" customHeight="1" x14ac:dyDescent="0.35">
      <c r="B9" s="5">
        <v>2</v>
      </c>
      <c r="C9" s="3" t="s">
        <v>97</v>
      </c>
      <c r="D9" s="5">
        <v>1</v>
      </c>
      <c r="E9" s="5">
        <v>2400</v>
      </c>
      <c r="F9" s="5">
        <v>2016</v>
      </c>
      <c r="H9" s="5">
        <v>2</v>
      </c>
      <c r="I9" s="3" t="s">
        <v>32</v>
      </c>
      <c r="J9" s="3" t="s">
        <v>95</v>
      </c>
      <c r="K9" s="3" t="s">
        <v>16</v>
      </c>
      <c r="L9" s="3" t="s">
        <v>98</v>
      </c>
    </row>
    <row r="10" spans="2:12" ht="17" customHeight="1" x14ac:dyDescent="0.35">
      <c r="B10" s="4">
        <v>3</v>
      </c>
      <c r="C10" s="2" t="s">
        <v>99</v>
      </c>
      <c r="D10" s="4">
        <v>2</v>
      </c>
      <c r="E10" s="4">
        <v>2900</v>
      </c>
      <c r="F10" s="4">
        <v>2015</v>
      </c>
      <c r="H10" s="4">
        <v>3</v>
      </c>
      <c r="I10" s="2" t="s">
        <v>21</v>
      </c>
      <c r="J10" s="2" t="s">
        <v>100</v>
      </c>
      <c r="K10" s="2" t="s">
        <v>22</v>
      </c>
      <c r="L10" s="2" t="s">
        <v>101</v>
      </c>
    </row>
    <row r="11" spans="2:12" ht="17" customHeight="1" x14ac:dyDescent="0.35">
      <c r="B11" s="5">
        <v>4</v>
      </c>
      <c r="C11" s="3" t="s">
        <v>102</v>
      </c>
      <c r="D11" s="5">
        <v>2</v>
      </c>
      <c r="E11" s="5">
        <v>3100</v>
      </c>
      <c r="F11" s="5">
        <v>2023</v>
      </c>
      <c r="H11" s="5">
        <v>4</v>
      </c>
      <c r="I11" s="3" t="s">
        <v>27</v>
      </c>
      <c r="J11" s="3" t="s">
        <v>103</v>
      </c>
      <c r="K11" s="3" t="s">
        <v>16</v>
      </c>
      <c r="L11" s="3" t="s">
        <v>104</v>
      </c>
    </row>
    <row r="12" spans="2:12" ht="17" customHeight="1" x14ac:dyDescent="0.35">
      <c r="B12" s="4">
        <v>5</v>
      </c>
      <c r="C12" s="2" t="s">
        <v>105</v>
      </c>
      <c r="D12" s="4">
        <v>3</v>
      </c>
      <c r="E12" s="4">
        <v>2500</v>
      </c>
      <c r="F12" s="4">
        <v>2019</v>
      </c>
    </row>
    <row r="13" spans="2:12" ht="17" customHeight="1" x14ac:dyDescent="0.35">
      <c r="B13" s="5">
        <v>6</v>
      </c>
      <c r="C13" s="3" t="s">
        <v>106</v>
      </c>
      <c r="D13" s="5">
        <v>3</v>
      </c>
      <c r="E13" s="5">
        <v>2750</v>
      </c>
      <c r="F13" s="5">
        <v>2014</v>
      </c>
    </row>
    <row r="14" spans="2:12" ht="17" customHeight="1" x14ac:dyDescent="0.35">
      <c r="B14" s="4">
        <v>7</v>
      </c>
      <c r="C14" s="2" t="s">
        <v>107</v>
      </c>
      <c r="D14" s="4">
        <v>4</v>
      </c>
      <c r="E14" s="4">
        <v>3300</v>
      </c>
      <c r="F14" s="4">
        <v>2022</v>
      </c>
    </row>
    <row r="15" spans="2:12" ht="17" customHeight="1" x14ac:dyDescent="0.35">
      <c r="B15" s="5">
        <v>8</v>
      </c>
      <c r="C15" s="3" t="s">
        <v>108</v>
      </c>
      <c r="D15" s="5">
        <v>2</v>
      </c>
      <c r="E15" s="5">
        <v>2200</v>
      </c>
      <c r="F15" s="5">
        <v>2013</v>
      </c>
    </row>
    <row r="16" spans="2:12" ht="17" customHeight="1" x14ac:dyDescent="0.35">
      <c r="B16" s="4">
        <v>9</v>
      </c>
      <c r="C16" s="2" t="s">
        <v>109</v>
      </c>
      <c r="D16" s="4">
        <v>1</v>
      </c>
      <c r="E16" s="4">
        <v>2100</v>
      </c>
      <c r="F16" s="4">
        <v>2023</v>
      </c>
    </row>
    <row r="17" spans="2:6" ht="17" customHeight="1" x14ac:dyDescent="0.35">
      <c r="B17" s="5">
        <v>10</v>
      </c>
      <c r="C17" s="3" t="s">
        <v>110</v>
      </c>
      <c r="D17" s="5">
        <v>99</v>
      </c>
      <c r="E17" s="5">
        <v>2000</v>
      </c>
      <c r="F17" s="5">
        <v>2018</v>
      </c>
    </row>
    <row r="19" spans="2:6" ht="18" customHeight="1" x14ac:dyDescent="0.35">
      <c r="B19" s="15" t="s">
        <v>111</v>
      </c>
      <c r="C19" s="11"/>
      <c r="D19" s="11"/>
      <c r="E19" s="11"/>
      <c r="F19" s="11"/>
    </row>
  </sheetData>
  <mergeCells count="5">
    <mergeCell ref="B6:F6"/>
    <mergeCell ref="H6:L6"/>
    <mergeCell ref="B19:F19"/>
    <mergeCell ref="B4:J4"/>
    <mergeCell ref="B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36"/>
  <sheetViews>
    <sheetView showGridLines="0" workbookViewId="0">
      <selection activeCell="B15" sqref="B15:C15"/>
    </sheetView>
  </sheetViews>
  <sheetFormatPr defaultRowHeight="14.5" x14ac:dyDescent="0.35"/>
  <cols>
    <col min="1" max="1" width="2" customWidth="1"/>
    <col min="2" max="2" width="16" customWidth="1"/>
    <col min="3" max="3" width="12" customWidth="1"/>
    <col min="4" max="4" width="4" customWidth="1"/>
    <col min="5" max="5" width="12" customWidth="1"/>
    <col min="6" max="6" width="38" customWidth="1"/>
  </cols>
  <sheetData>
    <row r="2" spans="2:10" ht="28" customHeight="1" x14ac:dyDescent="0.35">
      <c r="B2" s="12" t="s">
        <v>112</v>
      </c>
      <c r="C2" s="12"/>
      <c r="D2" s="12"/>
      <c r="E2" s="12"/>
      <c r="F2" s="12"/>
      <c r="G2" s="12"/>
      <c r="H2" s="12"/>
      <c r="I2" s="12"/>
      <c r="J2" s="12"/>
    </row>
    <row r="4" spans="2:10" ht="18" customHeight="1" x14ac:dyDescent="0.35">
      <c r="B4" s="10" t="s">
        <v>113</v>
      </c>
      <c r="C4" s="11"/>
      <c r="D4" s="11"/>
      <c r="E4" s="11"/>
      <c r="F4" s="11"/>
      <c r="G4" s="11"/>
      <c r="H4" s="11"/>
      <c r="I4" s="11"/>
      <c r="J4" s="11"/>
    </row>
    <row r="6" spans="2:10" ht="18" customHeight="1" x14ac:dyDescent="0.35">
      <c r="B6" s="1" t="s">
        <v>114</v>
      </c>
      <c r="C6" s="1" t="s">
        <v>115</v>
      </c>
    </row>
    <row r="7" spans="2:10" ht="17" customHeight="1" x14ac:dyDescent="0.35">
      <c r="B7" s="2" t="s">
        <v>20</v>
      </c>
      <c r="C7" s="4">
        <v>48.95</v>
      </c>
    </row>
    <row r="8" spans="2:10" ht="17" customHeight="1" x14ac:dyDescent="0.35">
      <c r="B8" s="3" t="s">
        <v>26</v>
      </c>
      <c r="C8" s="5">
        <v>13.91</v>
      </c>
    </row>
    <row r="9" spans="2:10" ht="17" customHeight="1" x14ac:dyDescent="0.35">
      <c r="B9" s="2" t="s">
        <v>14</v>
      </c>
      <c r="C9" s="4">
        <v>6.33</v>
      </c>
    </row>
    <row r="10" spans="2:10" ht="17" customHeight="1" x14ac:dyDescent="0.35">
      <c r="B10" s="3" t="s">
        <v>31</v>
      </c>
      <c r="C10" s="5">
        <v>21.09</v>
      </c>
    </row>
    <row r="11" spans="2:10" ht="17" customHeight="1" x14ac:dyDescent="0.35">
      <c r="B11" s="2" t="s">
        <v>36</v>
      </c>
      <c r="C11" s="4">
        <v>12.1</v>
      </c>
    </row>
    <row r="12" spans="2:10" ht="17" customHeight="1" x14ac:dyDescent="0.35">
      <c r="B12" s="3" t="s">
        <v>40</v>
      </c>
      <c r="C12" s="5">
        <v>14.97</v>
      </c>
    </row>
    <row r="14" spans="2:10" ht="18" customHeight="1" x14ac:dyDescent="0.35">
      <c r="B14" s="18" t="s">
        <v>116</v>
      </c>
      <c r="C14" s="18"/>
    </row>
    <row r="15" spans="2:10" ht="18" customHeight="1" x14ac:dyDescent="0.35">
      <c r="B15" s="19">
        <f>VLOOKUP("Acougue",B7:C12,2,FALSE)</f>
        <v>48.95</v>
      </c>
      <c r="C15" s="20"/>
      <c r="D15" s="15" t="s">
        <v>117</v>
      </c>
      <c r="E15" s="11"/>
      <c r="F15" s="11"/>
      <c r="G15" s="11"/>
      <c r="H15" s="11"/>
      <c r="I15" s="11"/>
      <c r="J15" s="11"/>
    </row>
    <row r="17" spans="2:6" ht="18" customHeight="1" x14ac:dyDescent="0.35">
      <c r="B17" s="18" t="s">
        <v>118</v>
      </c>
      <c r="C17" s="18"/>
    </row>
    <row r="18" spans="2:6" ht="15" customHeight="1" x14ac:dyDescent="0.35">
      <c r="B18" s="9" t="s">
        <v>119</v>
      </c>
      <c r="C18" s="9"/>
      <c r="D18" s="9"/>
      <c r="E18" s="9"/>
      <c r="F18" s="9"/>
    </row>
    <row r="19" spans="2:6" ht="15" customHeight="1" x14ac:dyDescent="0.35">
      <c r="B19" s="9"/>
      <c r="C19" s="9"/>
      <c r="D19" s="9"/>
      <c r="E19" s="9"/>
      <c r="F19" s="9"/>
    </row>
    <row r="20" spans="2:6" ht="15" customHeight="1" x14ac:dyDescent="0.35">
      <c r="B20" s="9"/>
      <c r="C20" s="9"/>
      <c r="D20" s="9"/>
      <c r="E20" s="9"/>
      <c r="F20" s="9"/>
    </row>
    <row r="21" spans="2:6" ht="15" customHeight="1" x14ac:dyDescent="0.35">
      <c r="B21" s="9"/>
      <c r="C21" s="9"/>
      <c r="D21" s="9"/>
      <c r="E21" s="9"/>
      <c r="F21" s="9"/>
    </row>
    <row r="22" spans="2:6" ht="15" customHeight="1" x14ac:dyDescent="0.35">
      <c r="B22" s="9"/>
      <c r="C22" s="9"/>
      <c r="D22" s="9"/>
      <c r="E22" s="9"/>
      <c r="F22" s="9"/>
    </row>
    <row r="23" spans="2:6" ht="15" customHeight="1" x14ac:dyDescent="0.35">
      <c r="B23" s="9"/>
      <c r="C23" s="9"/>
      <c r="D23" s="9"/>
      <c r="E23" s="9"/>
      <c r="F23" s="9"/>
    </row>
    <row r="24" spans="2:6" ht="15" customHeight="1" x14ac:dyDescent="0.35">
      <c r="B24" s="9"/>
      <c r="C24" s="9"/>
      <c r="D24" s="9"/>
      <c r="E24" s="9"/>
      <c r="F24" s="9"/>
    </row>
    <row r="26" spans="2:6" ht="18" customHeight="1" x14ac:dyDescent="0.35">
      <c r="B26" s="16" t="s">
        <v>120</v>
      </c>
      <c r="C26" s="16"/>
    </row>
    <row r="27" spans="2:6" ht="18.899999999999999" customHeight="1" x14ac:dyDescent="0.35">
      <c r="B27" s="17" t="s">
        <v>121</v>
      </c>
      <c r="C27" s="17"/>
      <c r="D27" s="17"/>
      <c r="E27" s="17"/>
      <c r="F27" s="17"/>
    </row>
    <row r="28" spans="2:6" ht="18.899999999999999" customHeight="1" x14ac:dyDescent="0.35">
      <c r="B28" s="17"/>
      <c r="C28" s="17"/>
      <c r="D28" s="17"/>
      <c r="E28" s="17"/>
      <c r="F28" s="17"/>
    </row>
    <row r="29" spans="2:6" ht="18.899999999999999" customHeight="1" x14ac:dyDescent="0.35">
      <c r="B29" s="17"/>
      <c r="C29" s="17"/>
      <c r="D29" s="17"/>
      <c r="E29" s="17"/>
      <c r="F29" s="17"/>
    </row>
    <row r="30" spans="2:6" ht="18.899999999999999" customHeight="1" x14ac:dyDescent="0.35">
      <c r="B30" s="17"/>
      <c r="C30" s="17"/>
      <c r="D30" s="17"/>
      <c r="E30" s="17"/>
      <c r="F30" s="17"/>
    </row>
    <row r="31" spans="2:6" ht="18.899999999999999" customHeight="1" x14ac:dyDescent="0.35">
      <c r="B31" s="17"/>
      <c r="C31" s="17"/>
      <c r="D31" s="17"/>
      <c r="E31" s="17"/>
      <c r="F31" s="17"/>
    </row>
    <row r="32" spans="2:6" ht="18.899999999999999" customHeight="1" x14ac:dyDescent="0.35">
      <c r="B32" s="17"/>
      <c r="C32" s="17"/>
      <c r="D32" s="17"/>
      <c r="E32" s="17"/>
      <c r="F32" s="17"/>
    </row>
    <row r="33" spans="2:10" ht="18.899999999999999" customHeight="1" x14ac:dyDescent="0.35">
      <c r="B33" s="17"/>
      <c r="C33" s="17"/>
      <c r="D33" s="17"/>
      <c r="E33" s="17"/>
      <c r="F33" s="17"/>
    </row>
    <row r="34" spans="2:10" ht="18.899999999999999" customHeight="1" x14ac:dyDescent="0.35">
      <c r="B34" s="17"/>
      <c r="C34" s="17"/>
      <c r="D34" s="17"/>
      <c r="E34" s="17"/>
      <c r="F34" s="17"/>
    </row>
    <row r="36" spans="2:10" ht="18" customHeight="1" x14ac:dyDescent="0.35">
      <c r="B36" s="15" t="s">
        <v>122</v>
      </c>
      <c r="C36" s="11"/>
      <c r="D36" s="11"/>
      <c r="E36" s="11"/>
      <c r="F36" s="11"/>
      <c r="G36" s="11"/>
      <c r="H36" s="11"/>
      <c r="I36" s="11"/>
      <c r="J36" s="11"/>
    </row>
  </sheetData>
  <mergeCells count="10">
    <mergeCell ref="B4:J4"/>
    <mergeCell ref="B17:C17"/>
    <mergeCell ref="D15:J15"/>
    <mergeCell ref="B2:J2"/>
    <mergeCell ref="B15:C15"/>
    <mergeCell ref="B26:C26"/>
    <mergeCell ref="B18:F24"/>
    <mergeCell ref="B36:J36"/>
    <mergeCell ref="B27:F34"/>
    <mergeCell ref="B14:C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25"/>
  <sheetViews>
    <sheetView showGridLines="0" topLeftCell="A4" workbookViewId="0">
      <selection activeCell="D13" sqref="D13:J13"/>
    </sheetView>
  </sheetViews>
  <sheetFormatPr defaultRowHeight="14.5" x14ac:dyDescent="0.35"/>
  <cols>
    <col min="1" max="1" width="2" customWidth="1"/>
    <col min="2" max="2" width="16" customWidth="1"/>
    <col min="3" max="3" width="17.08984375" customWidth="1"/>
    <col min="4" max="4" width="16" customWidth="1"/>
    <col min="5" max="5" width="4" customWidth="1"/>
    <col min="6" max="6" width="42" customWidth="1"/>
  </cols>
  <sheetData>
    <row r="2" spans="2:10" ht="28" customHeight="1" x14ac:dyDescent="0.35">
      <c r="B2" s="12" t="s">
        <v>123</v>
      </c>
      <c r="C2" s="12"/>
      <c r="D2" s="12"/>
      <c r="E2" s="12"/>
      <c r="F2" s="12"/>
      <c r="G2" s="12"/>
      <c r="H2" s="12"/>
      <c r="I2" s="12"/>
      <c r="J2" s="12"/>
    </row>
    <row r="4" spans="2:10" ht="18" customHeight="1" x14ac:dyDescent="0.35">
      <c r="B4" s="10" t="s">
        <v>124</v>
      </c>
      <c r="C4" s="11"/>
      <c r="D4" s="11"/>
      <c r="E4" s="11"/>
      <c r="F4" s="11"/>
      <c r="G4" s="11"/>
      <c r="H4" s="11"/>
      <c r="I4" s="11"/>
      <c r="J4" s="11"/>
    </row>
    <row r="6" spans="2:10" ht="18" customHeight="1" x14ac:dyDescent="0.35">
      <c r="B6" s="1" t="s">
        <v>5</v>
      </c>
      <c r="C6" s="1" t="s">
        <v>6</v>
      </c>
      <c r="D6" s="1" t="s">
        <v>7</v>
      </c>
    </row>
    <row r="7" spans="2:10" ht="17" customHeight="1" x14ac:dyDescent="0.35">
      <c r="B7" s="2" t="s">
        <v>19</v>
      </c>
      <c r="C7" s="2" t="s">
        <v>20</v>
      </c>
      <c r="D7" s="4">
        <v>79.900000000000006</v>
      </c>
    </row>
    <row r="8" spans="2:10" ht="17" customHeight="1" x14ac:dyDescent="0.35">
      <c r="B8" s="3" t="s">
        <v>13</v>
      </c>
      <c r="C8" s="3" t="s">
        <v>14</v>
      </c>
      <c r="D8" s="5">
        <v>5.99</v>
      </c>
    </row>
    <row r="9" spans="2:10" ht="17" customHeight="1" x14ac:dyDescent="0.35">
      <c r="B9" s="2" t="s">
        <v>35</v>
      </c>
      <c r="C9" s="2" t="s">
        <v>36</v>
      </c>
      <c r="D9" s="4">
        <v>2.4900000000000002</v>
      </c>
    </row>
    <row r="11" spans="2:10" ht="18" customHeight="1" x14ac:dyDescent="0.35">
      <c r="B11" s="18" t="s">
        <v>125</v>
      </c>
      <c r="C11" s="18"/>
    </row>
    <row r="12" spans="2:10" ht="18" customHeight="1" x14ac:dyDescent="0.35">
      <c r="B12" s="19" t="str">
        <f>ROWS(B7:D9)&amp;" x "&amp;COLUMNS(B7:D9)</f>
        <v>3 x 3</v>
      </c>
      <c r="C12" s="20"/>
      <c r="D12" s="15" t="s">
        <v>126</v>
      </c>
      <c r="E12" s="11"/>
      <c r="F12" s="11"/>
      <c r="G12" s="11"/>
      <c r="H12" s="11"/>
      <c r="I12" s="11"/>
      <c r="J12" s="11"/>
    </row>
    <row r="13" spans="2:10" ht="18" customHeight="1" x14ac:dyDescent="0.35">
      <c r="B13" s="19" t="str">
        <f>B6&amp;", "&amp;C6&amp;", "&amp;D6</f>
        <v>produto, setor, preco_unitario</v>
      </c>
      <c r="C13" s="20"/>
      <c r="D13" s="15" t="s">
        <v>127</v>
      </c>
      <c r="E13" s="11"/>
      <c r="F13" s="11"/>
      <c r="G13" s="11"/>
      <c r="H13" s="11"/>
      <c r="I13" s="11"/>
      <c r="J13" s="11"/>
    </row>
    <row r="15" spans="2:10" ht="18" customHeight="1" x14ac:dyDescent="0.35">
      <c r="B15" s="18" t="s">
        <v>118</v>
      </c>
      <c r="C15" s="18"/>
    </row>
    <row r="16" spans="2:10" ht="15.5" customHeight="1" x14ac:dyDescent="0.35">
      <c r="B16" s="9" t="s">
        <v>128</v>
      </c>
      <c r="C16" s="9"/>
      <c r="D16" s="9"/>
      <c r="E16" s="9"/>
      <c r="F16" s="9"/>
    </row>
    <row r="17" spans="2:10" ht="15.5" customHeight="1" x14ac:dyDescent="0.35">
      <c r="B17" s="9"/>
      <c r="C17" s="9"/>
      <c r="D17" s="9"/>
      <c r="E17" s="9"/>
      <c r="F17" s="9"/>
    </row>
    <row r="18" spans="2:10" ht="15.5" customHeight="1" x14ac:dyDescent="0.35">
      <c r="B18" s="9"/>
      <c r="C18" s="9"/>
      <c r="D18" s="9"/>
      <c r="E18" s="9"/>
      <c r="F18" s="9"/>
    </row>
    <row r="19" spans="2:10" ht="15.5" customHeight="1" x14ac:dyDescent="0.35">
      <c r="B19" s="9"/>
      <c r="C19" s="9"/>
      <c r="D19" s="9"/>
      <c r="E19" s="9"/>
      <c r="F19" s="9"/>
    </row>
    <row r="20" spans="2:10" ht="15.5" customHeight="1" x14ac:dyDescent="0.35">
      <c r="B20" s="9"/>
      <c r="C20" s="9"/>
      <c r="D20" s="9"/>
      <c r="E20" s="9"/>
      <c r="F20" s="9"/>
    </row>
    <row r="21" spans="2:10" ht="15.5" customHeight="1" x14ac:dyDescent="0.35">
      <c r="B21" s="9"/>
      <c r="C21" s="9"/>
      <c r="D21" s="9"/>
      <c r="E21" s="9"/>
      <c r="F21" s="9"/>
    </row>
    <row r="22" spans="2:10" ht="15.5" customHeight="1" x14ac:dyDescent="0.35">
      <c r="B22" s="9"/>
      <c r="C22" s="9"/>
      <c r="D22" s="9"/>
      <c r="E22" s="9"/>
      <c r="F22" s="9"/>
    </row>
    <row r="23" spans="2:10" ht="15.5" customHeight="1" x14ac:dyDescent="0.35">
      <c r="B23" s="9"/>
      <c r="C23" s="9"/>
      <c r="D23" s="9"/>
      <c r="E23" s="9"/>
      <c r="F23" s="9"/>
    </row>
    <row r="25" spans="2:10" ht="18" customHeight="1" x14ac:dyDescent="0.35">
      <c r="B25" s="15" t="s">
        <v>129</v>
      </c>
      <c r="C25" s="11"/>
      <c r="D25" s="11"/>
      <c r="E25" s="11"/>
      <c r="F25" s="11"/>
      <c r="G25" s="11"/>
      <c r="H25" s="11"/>
      <c r="I25" s="11"/>
      <c r="J25" s="11"/>
    </row>
  </sheetData>
  <mergeCells count="10">
    <mergeCell ref="B4:J4"/>
    <mergeCell ref="D13:J13"/>
    <mergeCell ref="B2:J2"/>
    <mergeCell ref="B12:C12"/>
    <mergeCell ref="B13:C13"/>
    <mergeCell ref="B25:J25"/>
    <mergeCell ref="B15:C15"/>
    <mergeCell ref="B11:C11"/>
    <mergeCell ref="B16:F23"/>
    <mergeCell ref="D12:J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47"/>
  <sheetViews>
    <sheetView showGridLines="0" workbookViewId="0">
      <selection activeCell="G15" sqref="G15"/>
    </sheetView>
  </sheetViews>
  <sheetFormatPr defaultRowHeight="14.5" x14ac:dyDescent="0.35"/>
  <cols>
    <col min="1" max="1" width="2" customWidth="1"/>
    <col min="2" max="2" width="16" customWidth="1"/>
    <col min="3" max="3" width="14" customWidth="1"/>
    <col min="4" max="4" width="12" customWidth="1"/>
    <col min="5" max="5" width="4" customWidth="1"/>
    <col min="6" max="6" width="42" customWidth="1"/>
  </cols>
  <sheetData>
    <row r="2" spans="2:10" ht="28" customHeight="1" x14ac:dyDescent="0.35">
      <c r="B2" s="12" t="s">
        <v>130</v>
      </c>
      <c r="C2" s="12"/>
      <c r="D2" s="12"/>
      <c r="E2" s="12"/>
      <c r="F2" s="12"/>
      <c r="G2" s="12"/>
      <c r="H2" s="12"/>
      <c r="I2" s="12"/>
      <c r="J2" s="12"/>
    </row>
    <row r="4" spans="2:10" ht="15" customHeight="1" x14ac:dyDescent="0.35">
      <c r="B4" s="10" t="s">
        <v>131</v>
      </c>
      <c r="C4" s="11"/>
      <c r="D4" s="11"/>
      <c r="E4" s="11"/>
      <c r="F4" s="11"/>
      <c r="G4" s="11"/>
      <c r="H4" s="11"/>
      <c r="I4" s="11"/>
      <c r="J4" s="11"/>
    </row>
    <row r="6" spans="2:10" ht="16" customHeight="1" x14ac:dyDescent="0.35">
      <c r="B6" s="14" t="s">
        <v>132</v>
      </c>
      <c r="C6" s="11"/>
      <c r="D6" s="11"/>
      <c r="E6" s="11"/>
      <c r="F6" s="11"/>
      <c r="G6" s="11"/>
      <c r="H6" s="11"/>
      <c r="I6" s="11"/>
      <c r="J6" s="11"/>
    </row>
    <row r="7" spans="2:10" ht="18" customHeight="1" x14ac:dyDescent="0.35">
      <c r="B7" s="1" t="s">
        <v>133</v>
      </c>
      <c r="C7" s="1" t="s">
        <v>7</v>
      </c>
      <c r="D7" s="1" t="s">
        <v>8</v>
      </c>
    </row>
    <row r="8" spans="2:10" ht="17" customHeight="1" x14ac:dyDescent="0.35">
      <c r="B8" s="2" t="s">
        <v>134</v>
      </c>
      <c r="C8" s="6">
        <f>COUNT('01_Dados_Vendas'!G7:G34)</f>
        <v>28</v>
      </c>
      <c r="D8" s="6">
        <f>COUNT('01_Dados_Vendas'!H7:H34)</f>
        <v>26</v>
      </c>
    </row>
    <row r="9" spans="2:10" ht="17" customHeight="1" x14ac:dyDescent="0.35">
      <c r="B9" s="3" t="s">
        <v>135</v>
      </c>
      <c r="C9" s="6">
        <f>AVERAGE('01_Dados_Vendas'!G7:G34)</f>
        <v>21.267857142857142</v>
      </c>
      <c r="D9" s="6">
        <f>AVERAGE('01_Dados_Vendas'!H7:H34)</f>
        <v>5.9230769230769234</v>
      </c>
    </row>
    <row r="10" spans="2:10" ht="17" customHeight="1" x14ac:dyDescent="0.35">
      <c r="B10" s="2" t="s">
        <v>136</v>
      </c>
      <c r="C10" s="6">
        <f>STDEV('01_Dados_Vendas'!G7:G34)</f>
        <v>23.597556426718619</v>
      </c>
      <c r="D10" s="6">
        <f>STDEV('01_Dados_Vendas'!H7:H34)</f>
        <v>4.815998977766311</v>
      </c>
    </row>
    <row r="11" spans="2:10" ht="17" customHeight="1" x14ac:dyDescent="0.35">
      <c r="B11" s="3" t="s">
        <v>137</v>
      </c>
      <c r="C11" s="6">
        <f>MIN('01_Dados_Vendas'!G7:G34)</f>
        <v>2.4900000000000002</v>
      </c>
      <c r="D11" s="6">
        <f>MIN('01_Dados_Vendas'!H7:H34)</f>
        <v>1</v>
      </c>
    </row>
    <row r="12" spans="2:10" ht="17" customHeight="1" x14ac:dyDescent="0.35">
      <c r="B12" s="2" t="s">
        <v>138</v>
      </c>
      <c r="C12" s="6">
        <f>QUARTILE('01_Dados_Vendas'!G7:G34,1)</f>
        <v>7.19</v>
      </c>
      <c r="D12" s="6">
        <f>QUARTILE('01_Dados_Vendas'!H7:H34,1)</f>
        <v>2</v>
      </c>
    </row>
    <row r="13" spans="2:10" ht="17" customHeight="1" x14ac:dyDescent="0.35">
      <c r="B13" s="3" t="s">
        <v>139</v>
      </c>
      <c r="C13" s="6">
        <f>MEDIAN('01_Dados_Vendas'!G7:G34)</f>
        <v>12.7</v>
      </c>
      <c r="D13" s="6">
        <f>MEDIAN('01_Dados_Vendas'!H7:H34)</f>
        <v>4</v>
      </c>
    </row>
    <row r="14" spans="2:10" ht="17" customHeight="1" x14ac:dyDescent="0.35">
      <c r="B14" s="2" t="s">
        <v>140</v>
      </c>
      <c r="C14" s="6">
        <f>QUARTILE('01_Dados_Vendas'!G7:G34,3)</f>
        <v>22.049999999999997</v>
      </c>
      <c r="D14" s="6">
        <f>QUARTILE('01_Dados_Vendas'!H7:H34,3)</f>
        <v>8.75</v>
      </c>
    </row>
    <row r="15" spans="2:10" ht="17" customHeight="1" x14ac:dyDescent="0.35">
      <c r="B15" s="3" t="s">
        <v>141</v>
      </c>
      <c r="C15" s="6">
        <f>MAX('01_Dados_Vendas'!G7:G34)</f>
        <v>82.5</v>
      </c>
      <c r="D15" s="6">
        <f>MAX('01_Dados_Vendas'!H7:H34)</f>
        <v>20</v>
      </c>
    </row>
    <row r="17" spans="2:10" ht="16" customHeight="1" x14ac:dyDescent="0.35">
      <c r="B17" s="14" t="s">
        <v>142</v>
      </c>
      <c r="C17" s="11"/>
      <c r="D17" s="11"/>
      <c r="E17" s="11"/>
      <c r="F17" s="11"/>
      <c r="G17" s="11"/>
      <c r="H17" s="11"/>
      <c r="I17" s="11"/>
      <c r="J17" s="11"/>
    </row>
    <row r="18" spans="2:10" ht="18" customHeight="1" x14ac:dyDescent="0.35">
      <c r="B18" s="1" t="s">
        <v>9</v>
      </c>
      <c r="C18" s="1" t="s">
        <v>143</v>
      </c>
    </row>
    <row r="19" spans="2:10" ht="17" customHeight="1" x14ac:dyDescent="0.35">
      <c r="B19" s="2" t="s">
        <v>15</v>
      </c>
      <c r="C19" s="6">
        <f>COUNTIF('01_Dados_Vendas'!I7:I34,"Filial Centro")</f>
        <v>8</v>
      </c>
    </row>
    <row r="20" spans="2:10" ht="17" customHeight="1" x14ac:dyDescent="0.35">
      <c r="B20" s="3" t="s">
        <v>21</v>
      </c>
      <c r="C20" s="6">
        <f>COUNTIF('01_Dados_Vendas'!I7:I34,"Filial Shopping")</f>
        <v>8</v>
      </c>
    </row>
    <row r="21" spans="2:10" ht="17" customHeight="1" x14ac:dyDescent="0.35">
      <c r="B21" s="2" t="s">
        <v>32</v>
      </c>
      <c r="C21" s="6">
        <f>COUNTIF('01_Dados_Vendas'!I7:I34,"Filial Bairro")</f>
        <v>7</v>
      </c>
    </row>
    <row r="22" spans="2:10" ht="17" customHeight="1" x14ac:dyDescent="0.35">
      <c r="B22" s="3" t="s">
        <v>27</v>
      </c>
      <c r="C22" s="6">
        <f>COUNTIF('01_Dados_Vendas'!I7:I34,"Loja Online")</f>
        <v>5</v>
      </c>
    </row>
    <row r="24" spans="2:10" ht="18" customHeight="1" x14ac:dyDescent="0.35">
      <c r="B24" s="18" t="s">
        <v>118</v>
      </c>
      <c r="C24" s="18"/>
    </row>
    <row r="25" spans="2:10" ht="15" customHeight="1" x14ac:dyDescent="0.35">
      <c r="B25" s="9" t="s">
        <v>144</v>
      </c>
      <c r="C25" s="9"/>
      <c r="D25" s="9"/>
      <c r="E25" s="9"/>
      <c r="F25" s="9"/>
    </row>
    <row r="26" spans="2:10" ht="15" customHeight="1" x14ac:dyDescent="0.35">
      <c r="B26" s="9"/>
      <c r="C26" s="9"/>
      <c r="D26" s="9"/>
      <c r="E26" s="9"/>
      <c r="F26" s="9"/>
    </row>
    <row r="27" spans="2:10" ht="15" customHeight="1" x14ac:dyDescent="0.35">
      <c r="B27" s="9"/>
      <c r="C27" s="9"/>
      <c r="D27" s="9"/>
      <c r="E27" s="9"/>
      <c r="F27" s="9"/>
    </row>
    <row r="28" spans="2:10" ht="15" customHeight="1" x14ac:dyDescent="0.35">
      <c r="B28" s="9"/>
      <c r="C28" s="9"/>
      <c r="D28" s="9"/>
      <c r="E28" s="9"/>
      <c r="F28" s="9"/>
    </row>
    <row r="29" spans="2:10" ht="15" customHeight="1" x14ac:dyDescent="0.35">
      <c r="B29" s="9"/>
      <c r="C29" s="9"/>
      <c r="D29" s="9"/>
      <c r="E29" s="9"/>
      <c r="F29" s="9"/>
    </row>
    <row r="31" spans="2:10" ht="18" customHeight="1" x14ac:dyDescent="0.35">
      <c r="B31" s="16" t="s">
        <v>120</v>
      </c>
      <c r="C31" s="16"/>
    </row>
    <row r="32" spans="2:10" ht="18.399999999999999" customHeight="1" x14ac:dyDescent="0.35">
      <c r="B32" s="17" t="s">
        <v>145</v>
      </c>
      <c r="C32" s="17"/>
      <c r="D32" s="17"/>
      <c r="E32" s="17"/>
      <c r="F32" s="17"/>
    </row>
    <row r="33" spans="2:10" ht="18.399999999999999" customHeight="1" x14ac:dyDescent="0.35">
      <c r="B33" s="17"/>
      <c r="C33" s="17"/>
      <c r="D33" s="17"/>
      <c r="E33" s="17"/>
      <c r="F33" s="17"/>
    </row>
    <row r="34" spans="2:10" ht="18.399999999999999" customHeight="1" x14ac:dyDescent="0.35">
      <c r="B34" s="17"/>
      <c r="C34" s="17"/>
      <c r="D34" s="17"/>
      <c r="E34" s="17"/>
      <c r="F34" s="17"/>
    </row>
    <row r="35" spans="2:10" ht="18.399999999999999" customHeight="1" x14ac:dyDescent="0.35">
      <c r="B35" s="17"/>
      <c r="C35" s="17"/>
      <c r="D35" s="17"/>
      <c r="E35" s="17"/>
      <c r="F35" s="17"/>
    </row>
    <row r="36" spans="2:10" ht="18.399999999999999" customHeight="1" x14ac:dyDescent="0.35">
      <c r="B36" s="17"/>
      <c r="C36" s="17"/>
      <c r="D36" s="17"/>
      <c r="E36" s="17"/>
      <c r="F36" s="17"/>
    </row>
    <row r="37" spans="2:10" ht="18.399999999999999" customHeight="1" x14ac:dyDescent="0.35">
      <c r="B37" s="17"/>
      <c r="C37" s="17"/>
      <c r="D37" s="17"/>
      <c r="E37" s="17"/>
      <c r="F37" s="17"/>
    </row>
    <row r="38" spans="2:10" ht="18.399999999999999" customHeight="1" x14ac:dyDescent="0.35">
      <c r="B38" s="17"/>
      <c r="C38" s="17"/>
      <c r="D38" s="17"/>
      <c r="E38" s="17"/>
      <c r="F38" s="17"/>
    </row>
    <row r="39" spans="2:10" ht="18.399999999999999" customHeight="1" x14ac:dyDescent="0.35">
      <c r="B39" s="17"/>
      <c r="C39" s="17"/>
      <c r="D39" s="17"/>
      <c r="E39" s="17"/>
      <c r="F39" s="17"/>
    </row>
    <row r="40" spans="2:10" ht="18.399999999999999" customHeight="1" x14ac:dyDescent="0.35">
      <c r="B40" s="17"/>
      <c r="C40" s="17"/>
      <c r="D40" s="17"/>
      <c r="E40" s="17"/>
      <c r="F40" s="17"/>
    </row>
    <row r="41" spans="2:10" ht="18.399999999999999" customHeight="1" x14ac:dyDescent="0.35">
      <c r="B41" s="17"/>
      <c r="C41" s="17"/>
      <c r="D41" s="17"/>
      <c r="E41" s="17"/>
      <c r="F41" s="17"/>
    </row>
    <row r="42" spans="2:10" ht="18.399999999999999" customHeight="1" x14ac:dyDescent="0.35">
      <c r="B42" s="17"/>
      <c r="C42" s="17"/>
      <c r="D42" s="17"/>
      <c r="E42" s="17"/>
      <c r="F42" s="17"/>
    </row>
    <row r="43" spans="2:10" ht="18.399999999999999" customHeight="1" x14ac:dyDescent="0.35">
      <c r="B43" s="17"/>
      <c r="C43" s="17"/>
      <c r="D43" s="17"/>
      <c r="E43" s="17"/>
      <c r="F43" s="17"/>
    </row>
    <row r="44" spans="2:10" ht="18.399999999999999" customHeight="1" x14ac:dyDescent="0.35">
      <c r="B44" s="17"/>
      <c r="C44" s="17"/>
      <c r="D44" s="17"/>
      <c r="E44" s="17"/>
      <c r="F44" s="17"/>
    </row>
    <row r="45" spans="2:10" ht="18.399999999999999" customHeight="1" x14ac:dyDescent="0.35">
      <c r="B45" s="17"/>
      <c r="C45" s="17"/>
      <c r="D45" s="17"/>
      <c r="E45" s="17"/>
      <c r="F45" s="17"/>
    </row>
    <row r="47" spans="2:10" ht="18" customHeight="1" x14ac:dyDescent="0.35">
      <c r="B47" s="15" t="s">
        <v>146</v>
      </c>
      <c r="C47" s="11"/>
      <c r="D47" s="11"/>
      <c r="E47" s="11"/>
      <c r="F47" s="11"/>
      <c r="G47" s="11"/>
      <c r="H47" s="11"/>
      <c r="I47" s="11"/>
      <c r="J47" s="11"/>
    </row>
  </sheetData>
  <mergeCells count="9">
    <mergeCell ref="B32:F45"/>
    <mergeCell ref="B6:J6"/>
    <mergeCell ref="B47:J47"/>
    <mergeCell ref="B2:J2"/>
    <mergeCell ref="B24:C24"/>
    <mergeCell ref="B25:F29"/>
    <mergeCell ref="B17:J17"/>
    <mergeCell ref="B4:J4"/>
    <mergeCell ref="B31:C3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23"/>
  <sheetViews>
    <sheetView showGridLines="0" workbookViewId="0">
      <selection activeCell="F6" sqref="F6"/>
    </sheetView>
  </sheetViews>
  <sheetFormatPr defaultRowHeight="14.5" x14ac:dyDescent="0.35"/>
  <cols>
    <col min="1" max="1" width="2" customWidth="1"/>
    <col min="2" max="2" width="16" customWidth="1"/>
    <col min="3" max="3" width="18" customWidth="1"/>
    <col min="4" max="4" width="34" customWidth="1"/>
    <col min="6" max="6" width="40" customWidth="1"/>
  </cols>
  <sheetData>
    <row r="2" spans="2:10" ht="28" customHeight="1" x14ac:dyDescent="0.35">
      <c r="B2" s="12" t="s">
        <v>147</v>
      </c>
      <c r="C2" s="12"/>
      <c r="D2" s="12"/>
      <c r="E2" s="12"/>
      <c r="F2" s="12"/>
      <c r="G2" s="12"/>
      <c r="H2" s="12"/>
      <c r="I2" s="12"/>
      <c r="J2" s="12"/>
    </row>
    <row r="4" spans="2:10" ht="18" customHeight="1" x14ac:dyDescent="0.35">
      <c r="B4" s="10" t="s">
        <v>148</v>
      </c>
      <c r="C4" s="11"/>
      <c r="D4" s="11"/>
      <c r="E4" s="11"/>
      <c r="F4" s="11"/>
      <c r="G4" s="11"/>
      <c r="H4" s="11"/>
      <c r="I4" s="11"/>
      <c r="J4" s="11"/>
    </row>
    <row r="6" spans="2:10" ht="18" customHeight="1" x14ac:dyDescent="0.35">
      <c r="B6" s="1" t="s">
        <v>149</v>
      </c>
      <c r="C6" s="1" t="s">
        <v>150</v>
      </c>
      <c r="D6" s="1" t="s">
        <v>151</v>
      </c>
    </row>
    <row r="7" spans="2:10" ht="17" customHeight="1" x14ac:dyDescent="0.35">
      <c r="B7" s="2" t="s">
        <v>152</v>
      </c>
      <c r="C7" s="2" t="s">
        <v>153</v>
      </c>
      <c r="D7" s="2" t="s">
        <v>154</v>
      </c>
    </row>
    <row r="8" spans="2:10" ht="17" customHeight="1" x14ac:dyDescent="0.35">
      <c r="B8" s="3" t="s">
        <v>155</v>
      </c>
      <c r="C8" s="3" t="s">
        <v>156</v>
      </c>
      <c r="D8" s="3" t="s">
        <v>157</v>
      </c>
    </row>
    <row r="9" spans="2:10" ht="17" customHeight="1" x14ac:dyDescent="0.35">
      <c r="B9" s="2" t="s">
        <v>158</v>
      </c>
      <c r="C9" s="2" t="s">
        <v>159</v>
      </c>
      <c r="D9" s="2" t="s">
        <v>160</v>
      </c>
    </row>
    <row r="10" spans="2:10" ht="17" customHeight="1" x14ac:dyDescent="0.35">
      <c r="B10" s="3" t="s">
        <v>161</v>
      </c>
      <c r="C10" s="3" t="s">
        <v>162</v>
      </c>
      <c r="D10" s="3" t="s">
        <v>163</v>
      </c>
    </row>
    <row r="11" spans="2:10" ht="17" customHeight="1" x14ac:dyDescent="0.35">
      <c r="B11" s="2" t="s">
        <v>164</v>
      </c>
      <c r="C11" s="2" t="s">
        <v>165</v>
      </c>
      <c r="D11" s="2" t="s">
        <v>166</v>
      </c>
    </row>
    <row r="13" spans="2:10" ht="16" customHeight="1" x14ac:dyDescent="0.35">
      <c r="B13" s="14" t="s">
        <v>167</v>
      </c>
      <c r="C13" s="11"/>
      <c r="D13" s="11"/>
      <c r="E13" s="11"/>
      <c r="F13" s="11"/>
      <c r="G13" s="11"/>
      <c r="H13" s="11"/>
      <c r="I13" s="11"/>
      <c r="J13" s="11"/>
    </row>
    <row r="14" spans="2:10" ht="32" customHeight="1" x14ac:dyDescent="0.35">
      <c r="B14" s="10" t="s">
        <v>168</v>
      </c>
      <c r="C14" s="11"/>
      <c r="D14" s="11"/>
      <c r="E14" s="11"/>
      <c r="F14" s="11"/>
      <c r="G14" s="11"/>
      <c r="H14" s="11"/>
      <c r="I14" s="11"/>
      <c r="J14" s="11"/>
    </row>
    <row r="16" spans="2:10" ht="15.5" customHeight="1" x14ac:dyDescent="0.35">
      <c r="B16" s="9" t="s">
        <v>169</v>
      </c>
      <c r="C16" s="9"/>
      <c r="D16" s="9"/>
      <c r="E16" s="9"/>
      <c r="F16" s="9"/>
    </row>
    <row r="17" spans="2:10" ht="15.5" customHeight="1" x14ac:dyDescent="0.35">
      <c r="B17" s="9"/>
      <c r="C17" s="9"/>
      <c r="D17" s="9"/>
      <c r="E17" s="9"/>
      <c r="F17" s="9"/>
    </row>
    <row r="18" spans="2:10" ht="15.5" customHeight="1" x14ac:dyDescent="0.35">
      <c r="B18" s="9"/>
      <c r="C18" s="9"/>
      <c r="D18" s="9"/>
      <c r="E18" s="9"/>
      <c r="F18" s="9"/>
    </row>
    <row r="19" spans="2:10" ht="15.5" customHeight="1" x14ac:dyDescent="0.35">
      <c r="B19" s="9"/>
      <c r="C19" s="9"/>
      <c r="D19" s="9"/>
      <c r="E19" s="9"/>
      <c r="F19" s="9"/>
    </row>
    <row r="20" spans="2:10" ht="15.5" customHeight="1" x14ac:dyDescent="0.35">
      <c r="B20" s="9"/>
      <c r="C20" s="9"/>
      <c r="D20" s="9"/>
      <c r="E20" s="9"/>
      <c r="F20" s="9"/>
    </row>
    <row r="21" spans="2:10" ht="15.5" customHeight="1" x14ac:dyDescent="0.35">
      <c r="B21" s="9"/>
      <c r="C21" s="9"/>
      <c r="D21" s="9"/>
      <c r="E21" s="9"/>
      <c r="F21" s="9"/>
    </row>
    <row r="23" spans="2:10" ht="18" customHeight="1" x14ac:dyDescent="0.35">
      <c r="B23" s="15" t="s">
        <v>170</v>
      </c>
      <c r="C23" s="11"/>
      <c r="D23" s="11"/>
      <c r="E23" s="11"/>
      <c r="F23" s="11"/>
      <c r="G23" s="11"/>
      <c r="H23" s="11"/>
      <c r="I23" s="11"/>
      <c r="J23" s="11"/>
    </row>
  </sheetData>
  <mergeCells count="6">
    <mergeCell ref="B2:J2"/>
    <mergeCell ref="B16:F21"/>
    <mergeCell ref="B14:J14"/>
    <mergeCell ref="B23:J23"/>
    <mergeCell ref="B4:J4"/>
    <mergeCell ref="B13:J1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60"/>
  <sheetViews>
    <sheetView showGridLines="0" workbookViewId="0">
      <selection activeCell="C38" sqref="C38"/>
    </sheetView>
  </sheetViews>
  <sheetFormatPr defaultRowHeight="14.5" x14ac:dyDescent="0.35"/>
  <cols>
    <col min="1" max="1" width="2" customWidth="1"/>
    <col min="2" max="2" width="10" customWidth="1"/>
    <col min="3" max="3" width="18" customWidth="1"/>
    <col min="4" max="5" width="12" customWidth="1"/>
    <col min="7" max="7" width="42" customWidth="1"/>
  </cols>
  <sheetData>
    <row r="2" spans="2:10" ht="28" customHeight="1" x14ac:dyDescent="0.35">
      <c r="B2" s="12" t="s">
        <v>171</v>
      </c>
      <c r="C2" s="12"/>
      <c r="D2" s="12"/>
      <c r="E2" s="12"/>
      <c r="F2" s="12"/>
      <c r="G2" s="12"/>
      <c r="H2" s="12"/>
      <c r="I2" s="12"/>
      <c r="J2" s="12"/>
    </row>
    <row r="4" spans="2:10" ht="18" customHeight="1" x14ac:dyDescent="0.35">
      <c r="B4" s="10" t="s">
        <v>172</v>
      </c>
      <c r="C4" s="11"/>
      <c r="D4" s="11"/>
      <c r="E4" s="11"/>
      <c r="F4" s="11"/>
      <c r="G4" s="11"/>
      <c r="H4" s="11"/>
      <c r="I4" s="11"/>
      <c r="J4" s="11"/>
    </row>
    <row r="6" spans="2:10" ht="18" customHeight="1" x14ac:dyDescent="0.35">
      <c r="B6" s="1" t="s">
        <v>3</v>
      </c>
      <c r="C6" s="1" t="s">
        <v>5</v>
      </c>
      <c r="D6" s="1" t="s">
        <v>8</v>
      </c>
      <c r="E6" s="1" t="s">
        <v>11</v>
      </c>
    </row>
    <row r="7" spans="2:10" ht="17" customHeight="1" x14ac:dyDescent="0.35">
      <c r="B7" s="4">
        <v>2001</v>
      </c>
      <c r="C7" s="2" t="s">
        <v>13</v>
      </c>
      <c r="D7" s="4">
        <v>12</v>
      </c>
      <c r="E7" s="2" t="s">
        <v>17</v>
      </c>
    </row>
    <row r="8" spans="2:10" ht="17" customHeight="1" x14ac:dyDescent="0.35">
      <c r="B8" s="5">
        <v>2002</v>
      </c>
      <c r="C8" s="3" t="s">
        <v>19</v>
      </c>
      <c r="D8" s="5">
        <v>2</v>
      </c>
      <c r="E8" s="3" t="s">
        <v>23</v>
      </c>
    </row>
    <row r="9" spans="2:10" ht="17" customHeight="1" x14ac:dyDescent="0.35">
      <c r="B9" s="4">
        <v>2003</v>
      </c>
      <c r="C9" s="2" t="s">
        <v>25</v>
      </c>
      <c r="D9" s="4">
        <v>6</v>
      </c>
      <c r="E9" s="2"/>
    </row>
    <row r="10" spans="2:10" ht="17" customHeight="1" x14ac:dyDescent="0.35">
      <c r="B10" s="5">
        <v>2004</v>
      </c>
      <c r="C10" s="3" t="s">
        <v>30</v>
      </c>
      <c r="D10" s="5">
        <v>10</v>
      </c>
      <c r="E10" s="3" t="s">
        <v>33</v>
      </c>
    </row>
    <row r="11" spans="2:10" ht="17" customHeight="1" x14ac:dyDescent="0.35">
      <c r="B11" s="4">
        <v>2005</v>
      </c>
      <c r="C11" s="2" t="s">
        <v>35</v>
      </c>
      <c r="D11" s="2"/>
      <c r="E11" s="2" t="s">
        <v>37</v>
      </c>
    </row>
    <row r="12" spans="2:10" ht="17" customHeight="1" x14ac:dyDescent="0.35">
      <c r="B12" s="5">
        <v>2006</v>
      </c>
      <c r="C12" s="3" t="s">
        <v>39</v>
      </c>
      <c r="D12" s="5">
        <v>3</v>
      </c>
      <c r="E12" s="3" t="s">
        <v>17</v>
      </c>
    </row>
    <row r="13" spans="2:10" ht="17" customHeight="1" x14ac:dyDescent="0.35">
      <c r="B13" s="4">
        <v>2007</v>
      </c>
      <c r="C13" s="2" t="s">
        <v>42</v>
      </c>
      <c r="D13" s="4">
        <v>4</v>
      </c>
      <c r="E13" s="2"/>
    </row>
    <row r="14" spans="2:10" ht="17" customHeight="1" x14ac:dyDescent="0.35">
      <c r="B14" s="5">
        <v>2008</v>
      </c>
      <c r="C14" s="3" t="s">
        <v>44</v>
      </c>
      <c r="D14" s="5">
        <v>2</v>
      </c>
      <c r="E14" s="3" t="s">
        <v>33</v>
      </c>
    </row>
    <row r="15" spans="2:10" ht="17" customHeight="1" x14ac:dyDescent="0.35">
      <c r="B15" s="4">
        <v>2009</v>
      </c>
      <c r="C15" s="2" t="s">
        <v>46</v>
      </c>
      <c r="D15" s="4">
        <v>5</v>
      </c>
      <c r="E15" s="2" t="s">
        <v>23</v>
      </c>
    </row>
    <row r="16" spans="2:10" ht="17" customHeight="1" x14ac:dyDescent="0.35">
      <c r="B16" s="5">
        <v>2010</v>
      </c>
      <c r="C16" s="3" t="s">
        <v>49</v>
      </c>
      <c r="D16" s="5">
        <v>8</v>
      </c>
      <c r="E16" s="3" t="s">
        <v>50</v>
      </c>
    </row>
    <row r="17" spans="2:5" ht="17" customHeight="1" x14ac:dyDescent="0.35">
      <c r="B17" s="4">
        <v>2011</v>
      </c>
      <c r="C17" s="2" t="s">
        <v>52</v>
      </c>
      <c r="D17" s="4">
        <v>2</v>
      </c>
      <c r="E17" s="2" t="s">
        <v>37</v>
      </c>
    </row>
    <row r="18" spans="2:5" ht="17" customHeight="1" x14ac:dyDescent="0.35">
      <c r="B18" s="5">
        <v>2012</v>
      </c>
      <c r="C18" s="3" t="s">
        <v>54</v>
      </c>
      <c r="D18" s="5">
        <v>3</v>
      </c>
      <c r="E18" s="3" t="s">
        <v>17</v>
      </c>
    </row>
    <row r="19" spans="2:5" ht="17" customHeight="1" x14ac:dyDescent="0.35">
      <c r="B19" s="4">
        <v>2013</v>
      </c>
      <c r="C19" s="2" t="s">
        <v>19</v>
      </c>
      <c r="D19" s="4">
        <v>1</v>
      </c>
      <c r="E19" s="2" t="s">
        <v>50</v>
      </c>
    </row>
    <row r="20" spans="2:5" ht="17" customHeight="1" x14ac:dyDescent="0.35">
      <c r="B20" s="5">
        <v>2014</v>
      </c>
      <c r="C20" s="3" t="s">
        <v>58</v>
      </c>
      <c r="D20" s="5">
        <v>6</v>
      </c>
      <c r="E20" s="3"/>
    </row>
    <row r="21" spans="2:5" ht="17" customHeight="1" x14ac:dyDescent="0.35">
      <c r="B21" s="4">
        <v>2015</v>
      </c>
      <c r="C21" s="2" t="s">
        <v>61</v>
      </c>
      <c r="D21" s="4">
        <v>4</v>
      </c>
      <c r="E21" s="2" t="s">
        <v>33</v>
      </c>
    </row>
    <row r="22" spans="2:5" ht="17" customHeight="1" x14ac:dyDescent="0.35">
      <c r="B22" s="5">
        <v>2016</v>
      </c>
      <c r="C22" s="3" t="s">
        <v>63</v>
      </c>
      <c r="D22" s="3"/>
      <c r="E22" s="3" t="s">
        <v>23</v>
      </c>
    </row>
    <row r="23" spans="2:5" ht="17" customHeight="1" x14ac:dyDescent="0.35">
      <c r="B23" s="4">
        <v>2017</v>
      </c>
      <c r="C23" s="2" t="s">
        <v>65</v>
      </c>
      <c r="D23" s="4">
        <v>20</v>
      </c>
      <c r="E23" s="2" t="s">
        <v>17</v>
      </c>
    </row>
    <row r="24" spans="2:5" ht="17" customHeight="1" x14ac:dyDescent="0.35">
      <c r="B24" s="5">
        <v>2018</v>
      </c>
      <c r="C24" s="3" t="s">
        <v>67</v>
      </c>
      <c r="D24" s="5">
        <v>3</v>
      </c>
      <c r="E24" s="3" t="s">
        <v>37</v>
      </c>
    </row>
    <row r="25" spans="2:5" ht="17" customHeight="1" x14ac:dyDescent="0.35">
      <c r="B25" s="4">
        <v>2019</v>
      </c>
      <c r="C25" s="2" t="s">
        <v>69</v>
      </c>
      <c r="D25" s="4">
        <v>2</v>
      </c>
      <c r="E25" s="2" t="s">
        <v>50</v>
      </c>
    </row>
    <row r="26" spans="2:5" ht="17" customHeight="1" x14ac:dyDescent="0.35">
      <c r="B26" s="5">
        <v>2020</v>
      </c>
      <c r="C26" s="3" t="s">
        <v>13</v>
      </c>
      <c r="D26" s="5">
        <v>15</v>
      </c>
      <c r="E26" s="3" t="s">
        <v>33</v>
      </c>
    </row>
    <row r="27" spans="2:5" ht="17" customHeight="1" x14ac:dyDescent="0.35">
      <c r="B27" s="4">
        <v>2021</v>
      </c>
      <c r="C27" s="2" t="s">
        <v>25</v>
      </c>
      <c r="D27" s="4">
        <v>10</v>
      </c>
      <c r="E27" s="2" t="s">
        <v>23</v>
      </c>
    </row>
    <row r="28" spans="2:5" ht="17" customHeight="1" x14ac:dyDescent="0.35">
      <c r="B28" s="5">
        <v>2022</v>
      </c>
      <c r="C28" s="3" t="s">
        <v>39</v>
      </c>
      <c r="D28" s="5">
        <v>2</v>
      </c>
      <c r="E28" s="3" t="s">
        <v>17</v>
      </c>
    </row>
    <row r="29" spans="2:5" ht="17" customHeight="1" x14ac:dyDescent="0.35">
      <c r="B29" s="4">
        <v>2023</v>
      </c>
      <c r="C29" s="2" t="s">
        <v>46</v>
      </c>
      <c r="D29" s="4">
        <v>4</v>
      </c>
      <c r="E29" s="2" t="s">
        <v>37</v>
      </c>
    </row>
    <row r="30" spans="2:5" ht="17" customHeight="1" x14ac:dyDescent="0.35">
      <c r="B30" s="5">
        <v>2024</v>
      </c>
      <c r="C30" s="3" t="s">
        <v>30</v>
      </c>
      <c r="D30" s="5">
        <v>12</v>
      </c>
      <c r="E30" s="3" t="s">
        <v>33</v>
      </c>
    </row>
    <row r="31" spans="2:5" ht="17" customHeight="1" x14ac:dyDescent="0.35">
      <c r="B31" s="4">
        <v>2025</v>
      </c>
      <c r="C31" s="2" t="s">
        <v>42</v>
      </c>
      <c r="D31" s="4">
        <v>6</v>
      </c>
      <c r="E31" s="2" t="s">
        <v>50</v>
      </c>
    </row>
    <row r="32" spans="2:5" ht="17" customHeight="1" x14ac:dyDescent="0.35">
      <c r="B32" s="5">
        <v>2026</v>
      </c>
      <c r="C32" s="3" t="s">
        <v>44</v>
      </c>
      <c r="D32" s="5">
        <v>1</v>
      </c>
      <c r="E32" s="3" t="s">
        <v>33</v>
      </c>
    </row>
    <row r="33" spans="2:10" ht="17" customHeight="1" x14ac:dyDescent="0.35">
      <c r="B33" s="4">
        <v>2027</v>
      </c>
      <c r="C33" s="2" t="s">
        <v>78</v>
      </c>
      <c r="D33" s="4">
        <v>9</v>
      </c>
      <c r="E33" s="2" t="s">
        <v>23</v>
      </c>
    </row>
    <row r="34" spans="2:10" ht="17" customHeight="1" x14ac:dyDescent="0.35">
      <c r="B34" s="5">
        <v>2028</v>
      </c>
      <c r="C34" s="3" t="s">
        <v>19</v>
      </c>
      <c r="D34" s="5">
        <v>2</v>
      </c>
      <c r="E34" s="3" t="s">
        <v>17</v>
      </c>
    </row>
    <row r="36" spans="2:10" ht="18" customHeight="1" x14ac:dyDescent="0.35">
      <c r="B36" s="18" t="s">
        <v>173</v>
      </c>
      <c r="C36" s="18"/>
    </row>
    <row r="37" spans="2:10" ht="18" customHeight="1" x14ac:dyDescent="0.35">
      <c r="C37" s="6">
        <f>COUNTBLANK(D7:D34)</f>
        <v>2</v>
      </c>
      <c r="D37" s="15" t="s">
        <v>174</v>
      </c>
      <c r="E37" s="11"/>
      <c r="F37" s="11"/>
      <c r="G37" s="11"/>
      <c r="H37" s="11"/>
      <c r="I37" s="11"/>
      <c r="J37" s="11"/>
    </row>
    <row r="38" spans="2:10" ht="18" customHeight="1" x14ac:dyDescent="0.35">
      <c r="C38" s="6">
        <f>COUNTBLANK(E7:E34)</f>
        <v>3</v>
      </c>
      <c r="D38" s="15" t="s">
        <v>175</v>
      </c>
      <c r="E38" s="11"/>
      <c r="F38" s="11"/>
      <c r="G38" s="11"/>
      <c r="H38" s="11"/>
      <c r="I38" s="11"/>
      <c r="J38" s="11"/>
    </row>
    <row r="40" spans="2:10" ht="18" customHeight="1" x14ac:dyDescent="0.35">
      <c r="B40" s="18" t="s">
        <v>118</v>
      </c>
      <c r="C40" s="18"/>
    </row>
    <row r="41" spans="2:10" ht="15" customHeight="1" x14ac:dyDescent="0.35">
      <c r="B41" s="9" t="s">
        <v>176</v>
      </c>
      <c r="C41" s="9"/>
      <c r="D41" s="9"/>
      <c r="E41" s="9"/>
      <c r="F41" s="9"/>
      <c r="G41" s="9"/>
    </row>
    <row r="42" spans="2:10" ht="15" customHeight="1" x14ac:dyDescent="0.35">
      <c r="B42" s="9"/>
      <c r="C42" s="9"/>
      <c r="D42" s="9"/>
      <c r="E42" s="9"/>
      <c r="F42" s="9"/>
      <c r="G42" s="9"/>
    </row>
    <row r="43" spans="2:10" ht="15" customHeight="1" x14ac:dyDescent="0.35">
      <c r="B43" s="9"/>
      <c r="C43" s="9"/>
      <c r="D43" s="9"/>
      <c r="E43" s="9"/>
      <c r="F43" s="9"/>
      <c r="G43" s="9"/>
    </row>
    <row r="44" spans="2:10" ht="15" customHeight="1" x14ac:dyDescent="0.35">
      <c r="B44" s="9"/>
      <c r="C44" s="9"/>
      <c r="D44" s="9"/>
      <c r="E44" s="9"/>
      <c r="F44" s="9"/>
      <c r="G44" s="9"/>
    </row>
    <row r="45" spans="2:10" ht="15" customHeight="1" x14ac:dyDescent="0.35">
      <c r="B45" s="9"/>
      <c r="C45" s="9"/>
      <c r="D45" s="9"/>
      <c r="E45" s="9"/>
      <c r="F45" s="9"/>
      <c r="G45" s="9"/>
    </row>
    <row r="46" spans="2:10" ht="15" customHeight="1" x14ac:dyDescent="0.35">
      <c r="B46" s="9"/>
      <c r="C46" s="9"/>
      <c r="D46" s="9"/>
      <c r="E46" s="9"/>
      <c r="F46" s="9"/>
      <c r="G46" s="9"/>
    </row>
    <row r="48" spans="2:10" ht="18" customHeight="1" x14ac:dyDescent="0.35">
      <c r="B48" s="16" t="s">
        <v>120</v>
      </c>
      <c r="C48" s="16"/>
    </row>
    <row r="49" spans="2:10" ht="15" customHeight="1" x14ac:dyDescent="0.35">
      <c r="B49" s="17" t="s">
        <v>177</v>
      </c>
      <c r="C49" s="17"/>
      <c r="D49" s="17"/>
      <c r="E49" s="17"/>
      <c r="F49" s="17"/>
      <c r="G49" s="17"/>
    </row>
    <row r="50" spans="2:10" ht="15" customHeight="1" x14ac:dyDescent="0.35">
      <c r="B50" s="17"/>
      <c r="C50" s="17"/>
      <c r="D50" s="17"/>
      <c r="E50" s="17"/>
      <c r="F50" s="17"/>
      <c r="G50" s="17"/>
    </row>
    <row r="51" spans="2:10" ht="15" customHeight="1" x14ac:dyDescent="0.35">
      <c r="B51" s="17"/>
      <c r="C51" s="17"/>
      <c r="D51" s="17"/>
      <c r="E51" s="17"/>
      <c r="F51" s="17"/>
      <c r="G51" s="17"/>
    </row>
    <row r="52" spans="2:10" ht="15" customHeight="1" x14ac:dyDescent="0.35">
      <c r="B52" s="17"/>
      <c r="C52" s="17"/>
      <c r="D52" s="17"/>
      <c r="E52" s="17"/>
      <c r="F52" s="17"/>
      <c r="G52" s="17"/>
    </row>
    <row r="53" spans="2:10" ht="15" customHeight="1" x14ac:dyDescent="0.35">
      <c r="B53" s="17"/>
      <c r="C53" s="17"/>
      <c r="D53" s="17"/>
      <c r="E53" s="17"/>
      <c r="F53" s="17"/>
      <c r="G53" s="17"/>
    </row>
    <row r="54" spans="2:10" ht="15" customHeight="1" x14ac:dyDescent="0.35">
      <c r="B54" s="17"/>
      <c r="C54" s="17"/>
      <c r="D54" s="17"/>
      <c r="E54" s="17"/>
      <c r="F54" s="17"/>
      <c r="G54" s="17"/>
    </row>
    <row r="55" spans="2:10" ht="15" customHeight="1" x14ac:dyDescent="0.35">
      <c r="B55" s="17"/>
      <c r="C55" s="17"/>
      <c r="D55" s="17"/>
      <c r="E55" s="17"/>
      <c r="F55" s="17"/>
      <c r="G55" s="17"/>
    </row>
    <row r="56" spans="2:10" ht="15" customHeight="1" x14ac:dyDescent="0.35">
      <c r="B56" s="17"/>
      <c r="C56" s="17"/>
      <c r="D56" s="17"/>
      <c r="E56" s="17"/>
      <c r="F56" s="17"/>
      <c r="G56" s="17"/>
    </row>
    <row r="57" spans="2:10" ht="15" customHeight="1" x14ac:dyDescent="0.35">
      <c r="B57" s="17"/>
      <c r="C57" s="17"/>
      <c r="D57" s="17"/>
      <c r="E57" s="17"/>
      <c r="F57" s="17"/>
      <c r="G57" s="17"/>
    </row>
    <row r="58" spans="2:10" ht="15" customHeight="1" x14ac:dyDescent="0.35">
      <c r="B58" s="17"/>
      <c r="C58" s="17"/>
      <c r="D58" s="17"/>
      <c r="E58" s="17"/>
      <c r="F58" s="17"/>
      <c r="G58" s="17"/>
    </row>
    <row r="60" spans="2:10" ht="18" customHeight="1" x14ac:dyDescent="0.35">
      <c r="B60" s="15" t="s">
        <v>178</v>
      </c>
      <c r="C60" s="11"/>
      <c r="D60" s="11"/>
      <c r="E60" s="11"/>
      <c r="F60" s="11"/>
      <c r="G60" s="11"/>
      <c r="H60" s="11"/>
      <c r="I60" s="11"/>
      <c r="J60" s="11"/>
    </row>
  </sheetData>
  <mergeCells count="10">
    <mergeCell ref="B4:J4"/>
    <mergeCell ref="B40:C40"/>
    <mergeCell ref="B2:J2"/>
    <mergeCell ref="D37:J37"/>
    <mergeCell ref="D38:J38"/>
    <mergeCell ref="B48:C48"/>
    <mergeCell ref="B49:G58"/>
    <mergeCell ref="B41:G46"/>
    <mergeCell ref="B60:J60"/>
    <mergeCell ref="B36:C3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36"/>
  <sheetViews>
    <sheetView showGridLines="0" topLeftCell="A3" workbookViewId="0">
      <selection activeCell="G14" sqref="G14"/>
    </sheetView>
  </sheetViews>
  <sheetFormatPr defaultRowHeight="14.5" x14ac:dyDescent="0.35"/>
  <cols>
    <col min="1" max="1" width="2" customWidth="1"/>
    <col min="2" max="2" width="16" customWidth="1"/>
    <col min="3" max="3" width="15" customWidth="1"/>
    <col min="4" max="5" width="12" customWidth="1"/>
    <col min="7" max="7" width="42" customWidth="1"/>
  </cols>
  <sheetData>
    <row r="2" spans="2:10" ht="28" customHeight="1" x14ac:dyDescent="0.35">
      <c r="B2" s="12" t="s">
        <v>179</v>
      </c>
      <c r="C2" s="12"/>
      <c r="D2" s="12"/>
      <c r="E2" s="12"/>
      <c r="F2" s="12"/>
      <c r="G2" s="12"/>
      <c r="H2" s="12"/>
      <c r="I2" s="12"/>
      <c r="J2" s="12"/>
    </row>
    <row r="4" spans="2:10" ht="18" customHeight="1" x14ac:dyDescent="0.35">
      <c r="B4" s="10" t="s">
        <v>180</v>
      </c>
      <c r="C4" s="11"/>
      <c r="D4" s="11"/>
      <c r="E4" s="11"/>
      <c r="F4" s="11"/>
      <c r="G4" s="11"/>
      <c r="H4" s="11"/>
      <c r="I4" s="11"/>
      <c r="J4" s="11"/>
    </row>
    <row r="6" spans="2:10" ht="18" customHeight="1" x14ac:dyDescent="0.35">
      <c r="B6" s="1" t="s">
        <v>5</v>
      </c>
      <c r="C6" s="1" t="s">
        <v>7</v>
      </c>
      <c r="D6" s="1" t="s">
        <v>8</v>
      </c>
      <c r="E6" s="1" t="s">
        <v>181</v>
      </c>
    </row>
    <row r="7" spans="2:10" ht="17" customHeight="1" x14ac:dyDescent="0.35">
      <c r="B7" s="2" t="s">
        <v>13</v>
      </c>
      <c r="C7" s="4">
        <v>5.99</v>
      </c>
      <c r="D7" s="4">
        <v>12</v>
      </c>
      <c r="E7" s="6">
        <f t="shared" ref="E7:E14" si="0">C7*D7</f>
        <v>71.88</v>
      </c>
    </row>
    <row r="8" spans="2:10" ht="17" customHeight="1" x14ac:dyDescent="0.35">
      <c r="B8" s="3" t="s">
        <v>19</v>
      </c>
      <c r="C8" s="5">
        <v>79.900000000000006</v>
      </c>
      <c r="D8" s="5">
        <v>2</v>
      </c>
      <c r="E8" s="6">
        <f t="shared" si="0"/>
        <v>159.80000000000001</v>
      </c>
    </row>
    <row r="9" spans="2:10" ht="17" customHeight="1" x14ac:dyDescent="0.35">
      <c r="B9" s="2" t="s">
        <v>25</v>
      </c>
      <c r="C9" s="4">
        <v>8.49</v>
      </c>
      <c r="D9" s="4">
        <v>6</v>
      </c>
      <c r="E9" s="6">
        <f t="shared" si="0"/>
        <v>50.94</v>
      </c>
    </row>
    <row r="10" spans="2:10" ht="17" customHeight="1" x14ac:dyDescent="0.35">
      <c r="B10" s="3" t="s">
        <v>30</v>
      </c>
      <c r="C10" s="5">
        <v>4.99</v>
      </c>
      <c r="D10" s="5">
        <v>10</v>
      </c>
      <c r="E10" s="6">
        <f t="shared" si="0"/>
        <v>49.900000000000006</v>
      </c>
    </row>
    <row r="11" spans="2:10" ht="17" customHeight="1" x14ac:dyDescent="0.35">
      <c r="B11" s="2" t="s">
        <v>35</v>
      </c>
      <c r="C11" s="4">
        <v>2.4900000000000002</v>
      </c>
      <c r="D11" s="4">
        <v>1</v>
      </c>
      <c r="E11" s="6">
        <f t="shared" si="0"/>
        <v>2.4900000000000002</v>
      </c>
    </row>
    <row r="12" spans="2:10" ht="17" customHeight="1" x14ac:dyDescent="0.35">
      <c r="B12" s="3" t="s">
        <v>39</v>
      </c>
      <c r="C12" s="5">
        <v>15.9</v>
      </c>
      <c r="D12" s="5">
        <v>3</v>
      </c>
      <c r="E12" s="6">
        <f t="shared" si="0"/>
        <v>47.7</v>
      </c>
    </row>
    <row r="13" spans="2:10" ht="17" customHeight="1" x14ac:dyDescent="0.35">
      <c r="B13" s="2" t="s">
        <v>42</v>
      </c>
      <c r="C13" s="4">
        <v>21.9</v>
      </c>
      <c r="D13" s="4">
        <v>4</v>
      </c>
      <c r="E13" s="6">
        <f t="shared" si="0"/>
        <v>87.6</v>
      </c>
    </row>
    <row r="14" spans="2:10" ht="17" customHeight="1" x14ac:dyDescent="0.35">
      <c r="B14" s="3" t="s">
        <v>44</v>
      </c>
      <c r="C14" s="5">
        <v>44.9</v>
      </c>
      <c r="D14" s="5">
        <v>2</v>
      </c>
      <c r="E14" s="6">
        <f t="shared" si="0"/>
        <v>89.8</v>
      </c>
    </row>
    <row r="16" spans="2:10" ht="18" customHeight="1" x14ac:dyDescent="0.35">
      <c r="B16" s="15" t="s">
        <v>182</v>
      </c>
      <c r="C16" s="11"/>
      <c r="D16" s="11"/>
      <c r="E16" s="11"/>
      <c r="F16" s="11"/>
      <c r="G16" s="11"/>
      <c r="H16" s="11"/>
      <c r="I16" s="11"/>
      <c r="J16" s="11"/>
    </row>
    <row r="18" spans="2:7" ht="18" customHeight="1" x14ac:dyDescent="0.35">
      <c r="B18" s="18" t="s">
        <v>118</v>
      </c>
      <c r="C18" s="18"/>
    </row>
    <row r="19" spans="2:7" ht="15" customHeight="1" x14ac:dyDescent="0.35">
      <c r="B19" s="9" t="s">
        <v>183</v>
      </c>
      <c r="C19" s="9"/>
      <c r="D19" s="9"/>
      <c r="E19" s="9"/>
      <c r="F19" s="9"/>
      <c r="G19" s="9"/>
    </row>
    <row r="20" spans="2:7" ht="15" customHeight="1" x14ac:dyDescent="0.35">
      <c r="B20" s="9"/>
      <c r="C20" s="9"/>
      <c r="D20" s="9"/>
      <c r="E20" s="9"/>
      <c r="F20" s="9"/>
      <c r="G20" s="9"/>
    </row>
    <row r="21" spans="2:7" ht="15" customHeight="1" x14ac:dyDescent="0.35">
      <c r="B21" s="9"/>
      <c r="C21" s="9"/>
      <c r="D21" s="9"/>
      <c r="E21" s="9"/>
      <c r="F21" s="9"/>
      <c r="G21" s="9"/>
    </row>
    <row r="22" spans="2:7" ht="15" customHeight="1" x14ac:dyDescent="0.35">
      <c r="B22" s="9"/>
      <c r="C22" s="9"/>
      <c r="D22" s="9"/>
      <c r="E22" s="9"/>
      <c r="F22" s="9"/>
      <c r="G22" s="9"/>
    </row>
    <row r="23" spans="2:7" ht="15" customHeight="1" x14ac:dyDescent="0.35">
      <c r="B23" s="9"/>
      <c r="C23" s="9"/>
      <c r="D23" s="9"/>
      <c r="E23" s="9"/>
      <c r="F23" s="9"/>
      <c r="G23" s="9"/>
    </row>
    <row r="24" spans="2:7" ht="15" customHeight="1" x14ac:dyDescent="0.35">
      <c r="B24" s="9"/>
      <c r="C24" s="9"/>
      <c r="D24" s="9"/>
      <c r="E24" s="9"/>
      <c r="F24" s="9"/>
      <c r="G24" s="9"/>
    </row>
    <row r="26" spans="2:7" ht="18" customHeight="1" x14ac:dyDescent="0.35">
      <c r="B26" s="16" t="s">
        <v>184</v>
      </c>
      <c r="C26" s="16"/>
    </row>
    <row r="27" spans="2:7" ht="15" customHeight="1" x14ac:dyDescent="0.35">
      <c r="B27" s="17" t="s">
        <v>185</v>
      </c>
      <c r="C27" s="17"/>
      <c r="D27" s="17"/>
      <c r="E27" s="17"/>
      <c r="F27" s="17"/>
      <c r="G27" s="17"/>
    </row>
    <row r="28" spans="2:7" ht="15" customHeight="1" x14ac:dyDescent="0.35">
      <c r="B28" s="17"/>
      <c r="C28" s="17"/>
      <c r="D28" s="17"/>
      <c r="E28" s="17"/>
      <c r="F28" s="17"/>
      <c r="G28" s="17"/>
    </row>
    <row r="29" spans="2:7" ht="15" customHeight="1" x14ac:dyDescent="0.35">
      <c r="B29" s="17"/>
      <c r="C29" s="17"/>
      <c r="D29" s="17"/>
      <c r="E29" s="17"/>
      <c r="F29" s="17"/>
      <c r="G29" s="17"/>
    </row>
    <row r="30" spans="2:7" ht="15" customHeight="1" x14ac:dyDescent="0.35">
      <c r="B30" s="17"/>
      <c r="C30" s="17"/>
      <c r="D30" s="17"/>
      <c r="E30" s="17"/>
      <c r="F30" s="17"/>
      <c r="G30" s="17"/>
    </row>
    <row r="31" spans="2:7" ht="15" customHeight="1" x14ac:dyDescent="0.35">
      <c r="B31" s="17"/>
      <c r="C31" s="17"/>
      <c r="D31" s="17"/>
      <c r="E31" s="17"/>
      <c r="F31" s="17"/>
      <c r="G31" s="17"/>
    </row>
    <row r="32" spans="2:7" ht="15" customHeight="1" x14ac:dyDescent="0.35">
      <c r="B32" s="17"/>
      <c r="C32" s="17"/>
      <c r="D32" s="17"/>
      <c r="E32" s="17"/>
      <c r="F32" s="17"/>
      <c r="G32" s="17"/>
    </row>
    <row r="33" spans="2:10" ht="15" customHeight="1" x14ac:dyDescent="0.35">
      <c r="B33" s="17"/>
      <c r="C33" s="17"/>
      <c r="D33" s="17"/>
      <c r="E33" s="17"/>
      <c r="F33" s="17"/>
      <c r="G33" s="17"/>
    </row>
    <row r="34" spans="2:10" ht="15" customHeight="1" x14ac:dyDescent="0.35">
      <c r="B34" s="17"/>
      <c r="C34" s="17"/>
      <c r="D34" s="17"/>
      <c r="E34" s="17"/>
      <c r="F34" s="17"/>
      <c r="G34" s="17"/>
    </row>
    <row r="36" spans="2:10" ht="18" customHeight="1" x14ac:dyDescent="0.35">
      <c r="B36" s="15" t="s">
        <v>186</v>
      </c>
      <c r="C36" s="11"/>
      <c r="D36" s="11"/>
      <c r="E36" s="11"/>
      <c r="F36" s="11"/>
      <c r="G36" s="11"/>
      <c r="H36" s="11"/>
      <c r="I36" s="11"/>
      <c r="J36" s="11"/>
    </row>
  </sheetData>
  <mergeCells count="8">
    <mergeCell ref="B2:J2"/>
    <mergeCell ref="B16:J16"/>
    <mergeCell ref="B19:G24"/>
    <mergeCell ref="B27:G34"/>
    <mergeCell ref="B36:J36"/>
    <mergeCell ref="B4:J4"/>
    <mergeCell ref="B26:C26"/>
    <mergeCell ref="B18:C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30"/>
  <sheetViews>
    <sheetView showGridLines="0" topLeftCell="A10" workbookViewId="0">
      <selection activeCell="G6" sqref="G6"/>
    </sheetView>
  </sheetViews>
  <sheetFormatPr defaultRowHeight="14.5" x14ac:dyDescent="0.35"/>
  <cols>
    <col min="1" max="1" width="2" customWidth="1"/>
    <col min="2" max="2" width="16" customWidth="1"/>
    <col min="3" max="3" width="22" customWidth="1"/>
    <col min="4" max="4" width="18" customWidth="1"/>
    <col min="6" max="6" width="42" customWidth="1"/>
  </cols>
  <sheetData>
    <row r="2" spans="2:10" ht="28" customHeight="1" x14ac:dyDescent="0.35">
      <c r="B2" s="12" t="s">
        <v>187</v>
      </c>
      <c r="C2" s="12"/>
      <c r="D2" s="12"/>
      <c r="E2" s="12"/>
      <c r="F2" s="12"/>
      <c r="G2" s="12"/>
      <c r="H2" s="12"/>
      <c r="I2" s="12"/>
      <c r="J2" s="12"/>
    </row>
    <row r="4" spans="2:10" ht="18" customHeight="1" x14ac:dyDescent="0.35">
      <c r="B4" s="10" t="s">
        <v>188</v>
      </c>
      <c r="C4" s="11"/>
      <c r="D4" s="11"/>
      <c r="E4" s="11"/>
      <c r="F4" s="11"/>
      <c r="G4" s="11"/>
      <c r="H4" s="11"/>
      <c r="I4" s="11"/>
      <c r="J4" s="11"/>
    </row>
    <row r="6" spans="2:10" ht="18" customHeight="1" x14ac:dyDescent="0.35">
      <c r="B6" s="1" t="s">
        <v>189</v>
      </c>
      <c r="C6" s="1" t="s">
        <v>190</v>
      </c>
      <c r="D6" s="1" t="s">
        <v>191</v>
      </c>
    </row>
    <row r="7" spans="2:10" ht="17" customHeight="1" x14ac:dyDescent="0.35">
      <c r="B7" s="2" t="s">
        <v>192</v>
      </c>
      <c r="C7" s="2" t="s">
        <v>193</v>
      </c>
      <c r="D7" s="2" t="s">
        <v>194</v>
      </c>
    </row>
    <row r="8" spans="2:10" ht="17" customHeight="1" x14ac:dyDescent="0.35">
      <c r="B8" s="3" t="s">
        <v>195</v>
      </c>
      <c r="C8" s="3" t="s">
        <v>196</v>
      </c>
      <c r="D8" s="3" t="s">
        <v>197</v>
      </c>
    </row>
    <row r="9" spans="2:10" ht="17" customHeight="1" x14ac:dyDescent="0.35">
      <c r="B9" s="2" t="s">
        <v>198</v>
      </c>
      <c r="C9" s="2" t="s">
        <v>199</v>
      </c>
      <c r="D9" s="2" t="s">
        <v>200</v>
      </c>
    </row>
    <row r="12" spans="2:10" ht="18" customHeight="1" x14ac:dyDescent="0.35">
      <c r="B12" s="18" t="s">
        <v>118</v>
      </c>
      <c r="C12" s="18"/>
    </row>
    <row r="13" spans="2:10" ht="15" customHeight="1" x14ac:dyDescent="0.35">
      <c r="B13" s="9" t="s">
        <v>201</v>
      </c>
      <c r="C13" s="9"/>
      <c r="D13" s="9"/>
      <c r="E13" s="9"/>
      <c r="F13" s="9"/>
    </row>
    <row r="14" spans="2:10" ht="15" customHeight="1" x14ac:dyDescent="0.35">
      <c r="B14" s="9"/>
      <c r="C14" s="9"/>
      <c r="D14" s="9"/>
      <c r="E14" s="9"/>
      <c r="F14" s="9"/>
    </row>
    <row r="15" spans="2:10" ht="15" customHeight="1" x14ac:dyDescent="0.35">
      <c r="B15" s="9"/>
      <c r="C15" s="9"/>
      <c r="D15" s="9"/>
      <c r="E15" s="9"/>
      <c r="F15" s="9"/>
    </row>
    <row r="16" spans="2:10" ht="15" customHeight="1" x14ac:dyDescent="0.35">
      <c r="B16" s="9"/>
      <c r="C16" s="9"/>
      <c r="D16" s="9"/>
      <c r="E16" s="9"/>
      <c r="F16" s="9"/>
    </row>
    <row r="17" spans="2:6" ht="15" customHeight="1" x14ac:dyDescent="0.35">
      <c r="B17" s="9"/>
      <c r="C17" s="9"/>
      <c r="D17" s="9"/>
      <c r="E17" s="9"/>
      <c r="F17" s="9"/>
    </row>
    <row r="19" spans="2:6" ht="18" customHeight="1" x14ac:dyDescent="0.35">
      <c r="B19" s="16" t="s">
        <v>120</v>
      </c>
      <c r="C19" s="16"/>
    </row>
    <row r="20" spans="2:6" ht="15.5" customHeight="1" x14ac:dyDescent="0.35">
      <c r="B20" s="17" t="s">
        <v>202</v>
      </c>
      <c r="C20" s="17"/>
      <c r="D20" s="17"/>
      <c r="E20" s="17"/>
      <c r="F20" s="17"/>
    </row>
    <row r="21" spans="2:6" ht="15.5" customHeight="1" x14ac:dyDescent="0.35">
      <c r="B21" s="17"/>
      <c r="C21" s="17"/>
      <c r="D21" s="17"/>
      <c r="E21" s="17"/>
      <c r="F21" s="17"/>
    </row>
    <row r="22" spans="2:6" ht="15.5" customHeight="1" x14ac:dyDescent="0.35">
      <c r="B22" s="17"/>
      <c r="C22" s="17"/>
      <c r="D22" s="17"/>
      <c r="E22" s="17"/>
      <c r="F22" s="17"/>
    </row>
    <row r="23" spans="2:6" ht="15.5" customHeight="1" x14ac:dyDescent="0.35">
      <c r="B23" s="17"/>
      <c r="C23" s="17"/>
      <c r="D23" s="17"/>
      <c r="E23" s="17"/>
      <c r="F23" s="17"/>
    </row>
    <row r="24" spans="2:6" ht="15.5" customHeight="1" x14ac:dyDescent="0.35">
      <c r="B24" s="17"/>
      <c r="C24" s="17"/>
      <c r="D24" s="17"/>
      <c r="E24" s="17"/>
      <c r="F24" s="17"/>
    </row>
    <row r="25" spans="2:6" ht="15.5" customHeight="1" x14ac:dyDescent="0.35">
      <c r="B25" s="17"/>
      <c r="C25" s="17"/>
      <c r="D25" s="17"/>
      <c r="E25" s="17"/>
      <c r="F25" s="17"/>
    </row>
    <row r="26" spans="2:6" ht="15.5" customHeight="1" x14ac:dyDescent="0.35">
      <c r="B26" s="17"/>
      <c r="C26" s="17"/>
      <c r="D26" s="17"/>
      <c r="E26" s="17"/>
      <c r="F26" s="17"/>
    </row>
    <row r="27" spans="2:6" ht="15.5" customHeight="1" x14ac:dyDescent="0.35">
      <c r="B27" s="17"/>
      <c r="C27" s="17"/>
      <c r="D27" s="17"/>
      <c r="E27" s="17"/>
      <c r="F27" s="17"/>
    </row>
    <row r="28" spans="2:6" ht="15.5" customHeight="1" x14ac:dyDescent="0.35">
      <c r="B28" s="17"/>
      <c r="C28" s="17"/>
      <c r="D28" s="17"/>
      <c r="E28" s="17"/>
      <c r="F28" s="17"/>
    </row>
    <row r="29" spans="2:6" ht="15.5" customHeight="1" x14ac:dyDescent="0.35">
      <c r="B29" s="17"/>
      <c r="C29" s="17"/>
      <c r="D29" s="17"/>
      <c r="E29" s="17"/>
      <c r="F29" s="17"/>
    </row>
    <row r="30" spans="2:6" ht="15.5" customHeight="1" x14ac:dyDescent="0.35">
      <c r="B30" s="17"/>
      <c r="C30" s="17"/>
      <c r="D30" s="17"/>
      <c r="E30" s="17"/>
      <c r="F30" s="17"/>
    </row>
  </sheetData>
  <mergeCells count="6">
    <mergeCell ref="B20:F30"/>
    <mergeCell ref="B13:F17"/>
    <mergeCell ref="B19:C19"/>
    <mergeCell ref="B4:J4"/>
    <mergeCell ref="B2:J2"/>
    <mergeCell ref="B12:C1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J40"/>
  <sheetViews>
    <sheetView showGridLines="0" workbookViewId="0">
      <selection activeCell="I13" sqref="I13"/>
    </sheetView>
  </sheetViews>
  <sheetFormatPr defaultRowHeight="14.5" x14ac:dyDescent="0.35"/>
  <cols>
    <col min="1" max="1" width="2" customWidth="1"/>
    <col min="2" max="2" width="16" customWidth="1"/>
    <col min="3" max="3" width="15" customWidth="1"/>
    <col min="4" max="4" width="12" customWidth="1"/>
    <col min="5" max="5" width="8" customWidth="1"/>
    <col min="6" max="6" width="11" customWidth="1"/>
    <col min="7" max="7" width="14" customWidth="1"/>
    <col min="9" max="9" width="42" customWidth="1"/>
  </cols>
  <sheetData>
    <row r="2" spans="2:10" ht="28" customHeight="1" x14ac:dyDescent="0.35">
      <c r="B2" s="12" t="s">
        <v>203</v>
      </c>
      <c r="C2" s="12"/>
      <c r="D2" s="12"/>
      <c r="E2" s="12"/>
      <c r="F2" s="12"/>
      <c r="G2" s="12"/>
      <c r="H2" s="12"/>
      <c r="I2" s="12"/>
      <c r="J2" s="12"/>
    </row>
    <row r="4" spans="2:10" ht="18" customHeight="1" x14ac:dyDescent="0.35">
      <c r="B4" s="10" t="s">
        <v>204</v>
      </c>
      <c r="C4" s="11"/>
      <c r="D4" s="11"/>
      <c r="E4" s="11"/>
      <c r="F4" s="11"/>
      <c r="G4" s="11"/>
      <c r="H4" s="11"/>
      <c r="I4" s="11"/>
      <c r="J4" s="11"/>
    </row>
    <row r="6" spans="2:10" ht="18" customHeight="1" x14ac:dyDescent="0.35">
      <c r="B6" s="1" t="s">
        <v>5</v>
      </c>
      <c r="C6" s="1" t="s">
        <v>7</v>
      </c>
      <c r="D6" s="1" t="s">
        <v>6</v>
      </c>
      <c r="E6" s="1" t="s">
        <v>10</v>
      </c>
      <c r="F6" s="1" t="s">
        <v>205</v>
      </c>
      <c r="G6" s="1" t="s">
        <v>206</v>
      </c>
    </row>
    <row r="7" spans="2:10" ht="17" customHeight="1" x14ac:dyDescent="0.35">
      <c r="B7" s="2" t="s">
        <v>13</v>
      </c>
      <c r="C7" s="4">
        <v>5.99</v>
      </c>
      <c r="D7" s="2" t="s">
        <v>14</v>
      </c>
      <c r="E7" s="2" t="s">
        <v>16</v>
      </c>
      <c r="F7" s="6" t="b">
        <f t="shared" ref="F7:F16" si="0">C7&gt;20</f>
        <v>0</v>
      </c>
      <c r="G7" s="6" t="b">
        <f t="shared" ref="G7:G16" si="1">AND(D7="Bebidas",E7="RJ")</f>
        <v>0</v>
      </c>
    </row>
    <row r="8" spans="2:10" ht="17" customHeight="1" x14ac:dyDescent="0.35">
      <c r="B8" s="3" t="s">
        <v>19</v>
      </c>
      <c r="C8" s="5">
        <v>79.900000000000006</v>
      </c>
      <c r="D8" s="3" t="s">
        <v>20</v>
      </c>
      <c r="E8" s="3" t="s">
        <v>22</v>
      </c>
      <c r="F8" s="6" t="b">
        <f t="shared" si="0"/>
        <v>1</v>
      </c>
      <c r="G8" s="6" t="b">
        <f t="shared" si="1"/>
        <v>0</v>
      </c>
    </row>
    <row r="9" spans="2:10" ht="17" customHeight="1" x14ac:dyDescent="0.35">
      <c r="B9" s="2" t="s">
        <v>25</v>
      </c>
      <c r="C9" s="4">
        <v>8.49</v>
      </c>
      <c r="D9" s="2" t="s">
        <v>26</v>
      </c>
      <c r="E9" s="2" t="s">
        <v>28</v>
      </c>
      <c r="F9" s="6" t="b">
        <f t="shared" si="0"/>
        <v>0</v>
      </c>
      <c r="G9" s="6" t="b">
        <f t="shared" si="1"/>
        <v>0</v>
      </c>
    </row>
    <row r="10" spans="2:10" ht="17" customHeight="1" x14ac:dyDescent="0.35">
      <c r="B10" s="3" t="s">
        <v>30</v>
      </c>
      <c r="C10" s="5">
        <v>4.99</v>
      </c>
      <c r="D10" s="3" t="s">
        <v>31</v>
      </c>
      <c r="E10" s="3" t="s">
        <v>16</v>
      </c>
      <c r="F10" s="6" t="b">
        <f t="shared" si="0"/>
        <v>0</v>
      </c>
      <c r="G10" s="6" t="b">
        <f t="shared" si="1"/>
        <v>0</v>
      </c>
    </row>
    <row r="11" spans="2:10" ht="17" customHeight="1" x14ac:dyDescent="0.35">
      <c r="B11" s="2" t="s">
        <v>35</v>
      </c>
      <c r="C11" s="4">
        <v>2.4900000000000002</v>
      </c>
      <c r="D11" s="2" t="s">
        <v>36</v>
      </c>
      <c r="E11" s="2" t="s">
        <v>16</v>
      </c>
      <c r="F11" s="6" t="b">
        <f t="shared" si="0"/>
        <v>0</v>
      </c>
      <c r="G11" s="6" t="b">
        <f t="shared" si="1"/>
        <v>0</v>
      </c>
    </row>
    <row r="12" spans="2:10" ht="17" customHeight="1" x14ac:dyDescent="0.35">
      <c r="B12" s="3" t="s">
        <v>39</v>
      </c>
      <c r="C12" s="5">
        <v>15.9</v>
      </c>
      <c r="D12" s="3" t="s">
        <v>40</v>
      </c>
      <c r="E12" s="3" t="s">
        <v>16</v>
      </c>
      <c r="F12" s="6" t="b">
        <f t="shared" si="0"/>
        <v>0</v>
      </c>
      <c r="G12" s="6" t="b">
        <f t="shared" si="1"/>
        <v>0</v>
      </c>
    </row>
    <row r="13" spans="2:10" ht="17" customHeight="1" x14ac:dyDescent="0.35">
      <c r="B13" s="2" t="s">
        <v>42</v>
      </c>
      <c r="C13" s="4">
        <v>21.9</v>
      </c>
      <c r="D13" s="2" t="s">
        <v>26</v>
      </c>
      <c r="E13" s="2" t="s">
        <v>22</v>
      </c>
      <c r="F13" s="6" t="b">
        <f t="shared" si="0"/>
        <v>1</v>
      </c>
      <c r="G13" s="6" t="b">
        <f t="shared" si="1"/>
        <v>1</v>
      </c>
    </row>
    <row r="14" spans="2:10" ht="17" customHeight="1" x14ac:dyDescent="0.35">
      <c r="B14" s="3" t="s">
        <v>44</v>
      </c>
      <c r="C14" s="5">
        <v>44.9</v>
      </c>
      <c r="D14" s="3" t="s">
        <v>31</v>
      </c>
      <c r="E14" s="3" t="s">
        <v>16</v>
      </c>
      <c r="F14" s="6" t="b">
        <f t="shared" si="0"/>
        <v>1</v>
      </c>
      <c r="G14" s="6" t="b">
        <f t="shared" si="1"/>
        <v>0</v>
      </c>
    </row>
    <row r="15" spans="2:10" ht="17" customHeight="1" x14ac:dyDescent="0.35">
      <c r="B15" s="2" t="s">
        <v>46</v>
      </c>
      <c r="C15" s="4">
        <v>12.9</v>
      </c>
      <c r="D15" s="2" t="s">
        <v>20</v>
      </c>
      <c r="E15" s="2" t="s">
        <v>47</v>
      </c>
      <c r="F15" s="6" t="b">
        <f t="shared" si="0"/>
        <v>0</v>
      </c>
      <c r="G15" s="6" t="b">
        <f t="shared" si="1"/>
        <v>0</v>
      </c>
    </row>
    <row r="16" spans="2:10" ht="17" customHeight="1" x14ac:dyDescent="0.35">
      <c r="B16" s="3" t="s">
        <v>49</v>
      </c>
      <c r="C16" s="5">
        <v>7.49</v>
      </c>
      <c r="D16" s="3" t="s">
        <v>14</v>
      </c>
      <c r="E16" s="3" t="s">
        <v>16</v>
      </c>
      <c r="F16" s="6" t="b">
        <f t="shared" si="0"/>
        <v>0</v>
      </c>
      <c r="G16" s="6" t="b">
        <f t="shared" si="1"/>
        <v>0</v>
      </c>
    </row>
    <row r="18" spans="2:9" ht="18" customHeight="1" x14ac:dyDescent="0.35">
      <c r="B18" s="18" t="s">
        <v>118</v>
      </c>
      <c r="C18" s="18"/>
    </row>
    <row r="19" spans="2:9" ht="15" customHeight="1" x14ac:dyDescent="0.35">
      <c r="B19" s="9" t="s">
        <v>207</v>
      </c>
      <c r="C19" s="9"/>
      <c r="D19" s="9"/>
      <c r="E19" s="9"/>
      <c r="F19" s="9"/>
      <c r="G19" s="9"/>
      <c r="H19" s="9"/>
      <c r="I19" s="9"/>
    </row>
    <row r="20" spans="2:9" ht="15" customHeight="1" x14ac:dyDescent="0.35">
      <c r="B20" s="9"/>
      <c r="C20" s="9"/>
      <c r="D20" s="9"/>
      <c r="E20" s="9"/>
      <c r="F20" s="9"/>
      <c r="G20" s="9"/>
      <c r="H20" s="9"/>
      <c r="I20" s="9"/>
    </row>
    <row r="21" spans="2:9" ht="15" customHeight="1" x14ac:dyDescent="0.35">
      <c r="B21" s="9"/>
      <c r="C21" s="9"/>
      <c r="D21" s="9"/>
      <c r="E21" s="9"/>
      <c r="F21" s="9"/>
      <c r="G21" s="9"/>
      <c r="H21" s="9"/>
      <c r="I21" s="9"/>
    </row>
    <row r="22" spans="2:9" ht="15" customHeight="1" x14ac:dyDescent="0.35">
      <c r="B22" s="9"/>
      <c r="C22" s="9"/>
      <c r="D22" s="9"/>
      <c r="E22" s="9"/>
      <c r="F22" s="9"/>
      <c r="G22" s="9"/>
      <c r="H22" s="9"/>
      <c r="I22" s="9"/>
    </row>
    <row r="23" spans="2:9" ht="15" customHeight="1" x14ac:dyDescent="0.35">
      <c r="B23" s="9"/>
      <c r="C23" s="9"/>
      <c r="D23" s="9"/>
      <c r="E23" s="9"/>
      <c r="F23" s="9"/>
      <c r="G23" s="9"/>
      <c r="H23" s="9"/>
      <c r="I23" s="9"/>
    </row>
    <row r="25" spans="2:9" ht="18" customHeight="1" x14ac:dyDescent="0.35">
      <c r="B25" s="16" t="s">
        <v>120</v>
      </c>
      <c r="C25" s="16"/>
    </row>
    <row r="26" spans="2:9" ht="17.5" customHeight="1" x14ac:dyDescent="0.35">
      <c r="B26" s="17" t="s">
        <v>208</v>
      </c>
      <c r="C26" s="17"/>
      <c r="D26" s="17"/>
      <c r="E26" s="17"/>
      <c r="F26" s="17"/>
      <c r="G26" s="17"/>
      <c r="H26" s="17"/>
      <c r="I26" s="17"/>
    </row>
    <row r="27" spans="2:9" ht="17.5" customHeight="1" x14ac:dyDescent="0.35">
      <c r="B27" s="17"/>
      <c r="C27" s="17"/>
      <c r="D27" s="17"/>
      <c r="E27" s="17"/>
      <c r="F27" s="17"/>
      <c r="G27" s="17"/>
      <c r="H27" s="17"/>
      <c r="I27" s="17"/>
    </row>
    <row r="28" spans="2:9" ht="17.5" customHeight="1" x14ac:dyDescent="0.35">
      <c r="B28" s="17"/>
      <c r="C28" s="17"/>
      <c r="D28" s="17"/>
      <c r="E28" s="17"/>
      <c r="F28" s="17"/>
      <c r="G28" s="17"/>
      <c r="H28" s="17"/>
      <c r="I28" s="17"/>
    </row>
    <row r="29" spans="2:9" ht="17.5" customHeight="1" x14ac:dyDescent="0.35">
      <c r="B29" s="17"/>
      <c r="C29" s="17"/>
      <c r="D29" s="17"/>
      <c r="E29" s="17"/>
      <c r="F29" s="17"/>
      <c r="G29" s="17"/>
      <c r="H29" s="17"/>
      <c r="I29" s="17"/>
    </row>
    <row r="30" spans="2:9" ht="17.5" customHeight="1" x14ac:dyDescent="0.35">
      <c r="B30" s="17"/>
      <c r="C30" s="17"/>
      <c r="D30" s="17"/>
      <c r="E30" s="17"/>
      <c r="F30" s="17"/>
      <c r="G30" s="17"/>
      <c r="H30" s="17"/>
      <c r="I30" s="17"/>
    </row>
    <row r="31" spans="2:9" ht="17.5" customHeight="1" x14ac:dyDescent="0.35">
      <c r="B31" s="17"/>
      <c r="C31" s="17"/>
      <c r="D31" s="17"/>
      <c r="E31" s="17"/>
      <c r="F31" s="17"/>
      <c r="G31" s="17"/>
      <c r="H31" s="17"/>
      <c r="I31" s="17"/>
    </row>
    <row r="32" spans="2:9" ht="17.5" customHeight="1" x14ac:dyDescent="0.35">
      <c r="B32" s="17"/>
      <c r="C32" s="17"/>
      <c r="D32" s="17"/>
      <c r="E32" s="17"/>
      <c r="F32" s="17"/>
      <c r="G32" s="17"/>
      <c r="H32" s="17"/>
      <c r="I32" s="17"/>
    </row>
    <row r="33" spans="2:10" ht="17.5" customHeight="1" x14ac:dyDescent="0.35">
      <c r="B33" s="17"/>
      <c r="C33" s="17"/>
      <c r="D33" s="17"/>
      <c r="E33" s="17"/>
      <c r="F33" s="17"/>
      <c r="G33" s="17"/>
      <c r="H33" s="17"/>
      <c r="I33" s="17"/>
    </row>
    <row r="34" spans="2:10" ht="17.5" customHeight="1" x14ac:dyDescent="0.35">
      <c r="B34" s="17"/>
      <c r="C34" s="17"/>
      <c r="D34" s="17"/>
      <c r="E34" s="17"/>
      <c r="F34" s="17"/>
      <c r="G34" s="17"/>
      <c r="H34" s="17"/>
      <c r="I34" s="17"/>
    </row>
    <row r="35" spans="2:10" ht="17.5" customHeight="1" x14ac:dyDescent="0.35">
      <c r="B35" s="17"/>
      <c r="C35" s="17"/>
      <c r="D35" s="17"/>
      <c r="E35" s="17"/>
      <c r="F35" s="17"/>
      <c r="G35" s="17"/>
      <c r="H35" s="17"/>
      <c r="I35" s="17"/>
    </row>
    <row r="36" spans="2:10" ht="17.5" customHeight="1" x14ac:dyDescent="0.35">
      <c r="B36" s="17"/>
      <c r="C36" s="17"/>
      <c r="D36" s="17"/>
      <c r="E36" s="17"/>
      <c r="F36" s="17"/>
      <c r="G36" s="17"/>
      <c r="H36" s="17"/>
      <c r="I36" s="17"/>
    </row>
    <row r="37" spans="2:10" ht="17.5" customHeight="1" x14ac:dyDescent="0.35">
      <c r="B37" s="17"/>
      <c r="C37" s="17"/>
      <c r="D37" s="17"/>
      <c r="E37" s="17"/>
      <c r="F37" s="17"/>
      <c r="G37" s="17"/>
      <c r="H37" s="17"/>
      <c r="I37" s="17"/>
    </row>
    <row r="38" spans="2:10" ht="17.5" customHeight="1" x14ac:dyDescent="0.35">
      <c r="B38" s="17"/>
      <c r="C38" s="17"/>
      <c r="D38" s="17"/>
      <c r="E38" s="17"/>
      <c r="F38" s="17"/>
      <c r="G38" s="17"/>
      <c r="H38" s="17"/>
      <c r="I38" s="17"/>
    </row>
    <row r="40" spans="2:10" ht="18" customHeight="1" x14ac:dyDescent="0.35">
      <c r="B40" s="15" t="s">
        <v>209</v>
      </c>
      <c r="C40" s="11"/>
      <c r="D40" s="11"/>
      <c r="E40" s="11"/>
      <c r="F40" s="11"/>
      <c r="G40" s="11"/>
      <c r="H40" s="11"/>
      <c r="I40" s="11"/>
      <c r="J40" s="11"/>
    </row>
  </sheetData>
  <mergeCells count="7">
    <mergeCell ref="B2:J2"/>
    <mergeCell ref="B26:I38"/>
    <mergeCell ref="B25:C25"/>
    <mergeCell ref="B19:I23"/>
    <mergeCell ref="B40:J40"/>
    <mergeCell ref="B4:J4"/>
    <mergeCell ref="B18:C1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33"/>
  <sheetViews>
    <sheetView showGridLines="0" workbookViewId="0">
      <selection activeCell="G12" sqref="G12"/>
    </sheetView>
  </sheetViews>
  <sheetFormatPr defaultRowHeight="14.5" x14ac:dyDescent="0.35"/>
  <cols>
    <col min="1" max="1" width="2" customWidth="1"/>
    <col min="2" max="2" width="14" customWidth="1"/>
    <col min="3" max="4" width="12" customWidth="1"/>
    <col min="6" max="6" width="44" customWidth="1"/>
  </cols>
  <sheetData>
    <row r="2" spans="2:10" ht="28" customHeight="1" x14ac:dyDescent="0.35">
      <c r="B2" s="12" t="s">
        <v>210</v>
      </c>
      <c r="C2" s="12"/>
      <c r="D2" s="12"/>
      <c r="E2" s="12"/>
      <c r="F2" s="12"/>
      <c r="G2" s="12"/>
      <c r="H2" s="12"/>
      <c r="I2" s="12"/>
      <c r="J2" s="12"/>
    </row>
    <row r="4" spans="2:10" ht="18" customHeight="1" x14ac:dyDescent="0.35">
      <c r="B4" s="10" t="s">
        <v>211</v>
      </c>
      <c r="C4" s="11"/>
      <c r="D4" s="11"/>
      <c r="E4" s="11"/>
      <c r="F4" s="11"/>
      <c r="G4" s="11"/>
      <c r="H4" s="11"/>
      <c r="I4" s="11"/>
      <c r="J4" s="11"/>
    </row>
    <row r="6" spans="2:10" ht="18" customHeight="1" x14ac:dyDescent="0.35">
      <c r="B6" s="1" t="s">
        <v>6</v>
      </c>
      <c r="C6" s="1" t="s">
        <v>212</v>
      </c>
      <c r="D6" s="1" t="s">
        <v>143</v>
      </c>
    </row>
    <row r="7" spans="2:10" ht="17" customHeight="1" x14ac:dyDescent="0.35">
      <c r="B7" s="2" t="s">
        <v>20</v>
      </c>
      <c r="C7" s="6">
        <f>AVERAGEIF('01_Dados_Vendas'!F7:F34,"Acougue",'01_Dados_Vendas'!G7:G34)</f>
        <v>48.95000000000001</v>
      </c>
      <c r="D7" s="6">
        <f>COUNTIF('01_Dados_Vendas'!F7:F34,"Acougue")</f>
        <v>6</v>
      </c>
    </row>
    <row r="8" spans="2:10" ht="17" customHeight="1" x14ac:dyDescent="0.35">
      <c r="B8" s="3" t="s">
        <v>26</v>
      </c>
      <c r="C8" s="6">
        <f>AVERAGEIF('01_Dados_Vendas'!F7:F34,"Bebidas",'01_Dados_Vendas'!G7:G34)</f>
        <v>13.913333333333332</v>
      </c>
      <c r="D8" s="6">
        <f>COUNTIF('01_Dados_Vendas'!F7:F34,"Bebidas")</f>
        <v>6</v>
      </c>
    </row>
    <row r="9" spans="2:10" ht="17" customHeight="1" x14ac:dyDescent="0.35">
      <c r="B9" s="2" t="s">
        <v>14</v>
      </c>
      <c r="C9" s="6">
        <f>AVERAGEIF('01_Dados_Vendas'!F7:F34,"Hortifruti",'01_Dados_Vendas'!G7:G34)</f>
        <v>6.3320000000000007</v>
      </c>
      <c r="D9" s="6">
        <f>COUNTIF('01_Dados_Vendas'!F7:F34,"Hortifruti")</f>
        <v>5</v>
      </c>
    </row>
    <row r="10" spans="2:10" ht="17" customHeight="1" x14ac:dyDescent="0.35">
      <c r="B10" s="3" t="s">
        <v>31</v>
      </c>
      <c r="C10" s="6">
        <f>AVERAGEIF('01_Dados_Vendas'!F7:F34,"Laticinios",'01_Dados_Vendas'!G7:G34)</f>
        <v>21.094000000000001</v>
      </c>
      <c r="D10" s="6">
        <f>COUNTIF('01_Dados_Vendas'!F7:F34,"Laticinios")</f>
        <v>5</v>
      </c>
    </row>
    <row r="11" spans="2:10" ht="17" customHeight="1" x14ac:dyDescent="0.35">
      <c r="B11" s="2" t="s">
        <v>36</v>
      </c>
      <c r="C11" s="6">
        <f>AVERAGEIF('01_Dados_Vendas'!F7:F34,"Limpeza",'01_Dados_Vendas'!G7:G34)</f>
        <v>12.096666666666666</v>
      </c>
      <c r="D11" s="6">
        <f>COUNTIF('01_Dados_Vendas'!F7:F34,"Limpeza")</f>
        <v>3</v>
      </c>
    </row>
    <row r="12" spans="2:10" ht="17" customHeight="1" x14ac:dyDescent="0.35">
      <c r="B12" s="3" t="s">
        <v>40</v>
      </c>
      <c r="C12" s="6">
        <f>AVERAGEIF('01_Dados_Vendas'!F7:F34,"Padaria",'01_Dados_Vendas'!G7:G34)</f>
        <v>14.966666666666667</v>
      </c>
      <c r="D12" s="6">
        <f>COUNTIF('01_Dados_Vendas'!F7:F34,"Padaria")</f>
        <v>3</v>
      </c>
    </row>
    <row r="14" spans="2:10" ht="18" customHeight="1" x14ac:dyDescent="0.35">
      <c r="B14" s="15" t="s">
        <v>213</v>
      </c>
      <c r="C14" s="11"/>
      <c r="D14" s="11"/>
      <c r="E14" s="11"/>
      <c r="F14" s="11"/>
      <c r="G14" s="11"/>
      <c r="H14" s="11"/>
      <c r="I14" s="11"/>
      <c r="J14" s="11"/>
    </row>
    <row r="16" spans="2:10" ht="18" customHeight="1" x14ac:dyDescent="0.35">
      <c r="B16" s="18" t="s">
        <v>118</v>
      </c>
      <c r="C16" s="18"/>
    </row>
    <row r="17" spans="2:6" ht="15" customHeight="1" x14ac:dyDescent="0.35">
      <c r="B17" s="9" t="s">
        <v>214</v>
      </c>
      <c r="C17" s="9"/>
      <c r="D17" s="9"/>
      <c r="E17" s="9"/>
      <c r="F17" s="9"/>
    </row>
    <row r="18" spans="2:6" ht="15" customHeight="1" x14ac:dyDescent="0.35">
      <c r="B18" s="9"/>
      <c r="C18" s="9"/>
      <c r="D18" s="9"/>
      <c r="E18" s="9"/>
      <c r="F18" s="9"/>
    </row>
    <row r="19" spans="2:6" ht="15" customHeight="1" x14ac:dyDescent="0.35">
      <c r="B19" s="9"/>
      <c r="C19" s="9"/>
      <c r="D19" s="9"/>
      <c r="E19" s="9"/>
      <c r="F19" s="9"/>
    </row>
    <row r="20" spans="2:6" ht="15" customHeight="1" x14ac:dyDescent="0.35">
      <c r="B20" s="9"/>
      <c r="C20" s="9"/>
      <c r="D20" s="9"/>
      <c r="E20" s="9"/>
      <c r="F20" s="9"/>
    </row>
    <row r="21" spans="2:6" ht="15" customHeight="1" x14ac:dyDescent="0.35">
      <c r="B21" s="9"/>
      <c r="C21" s="9"/>
      <c r="D21" s="9"/>
      <c r="E21" s="9"/>
      <c r="F21" s="9"/>
    </row>
    <row r="23" spans="2:6" ht="18" customHeight="1" x14ac:dyDescent="0.35">
      <c r="B23" s="16" t="s">
        <v>120</v>
      </c>
      <c r="C23" s="16"/>
    </row>
    <row r="24" spans="2:6" ht="15" customHeight="1" x14ac:dyDescent="0.35">
      <c r="B24" s="17" t="s">
        <v>215</v>
      </c>
      <c r="C24" s="17"/>
      <c r="D24" s="17"/>
      <c r="E24" s="17"/>
      <c r="F24" s="17"/>
    </row>
    <row r="25" spans="2:6" ht="15" customHeight="1" x14ac:dyDescent="0.35">
      <c r="B25" s="17"/>
      <c r="C25" s="17"/>
      <c r="D25" s="17"/>
      <c r="E25" s="17"/>
      <c r="F25" s="17"/>
    </row>
    <row r="26" spans="2:6" ht="15" customHeight="1" x14ac:dyDescent="0.35">
      <c r="B26" s="17"/>
      <c r="C26" s="17"/>
      <c r="D26" s="17"/>
      <c r="E26" s="17"/>
      <c r="F26" s="17"/>
    </row>
    <row r="27" spans="2:6" ht="15" customHeight="1" x14ac:dyDescent="0.35">
      <c r="B27" s="17"/>
      <c r="C27" s="17"/>
      <c r="D27" s="17"/>
      <c r="E27" s="17"/>
      <c r="F27" s="17"/>
    </row>
    <row r="28" spans="2:6" ht="15" customHeight="1" x14ac:dyDescent="0.35">
      <c r="B28" s="17"/>
      <c r="C28" s="17"/>
      <c r="D28" s="17"/>
      <c r="E28" s="17"/>
      <c r="F28" s="17"/>
    </row>
    <row r="29" spans="2:6" ht="15" customHeight="1" x14ac:dyDescent="0.35">
      <c r="B29" s="17"/>
      <c r="C29" s="17"/>
      <c r="D29" s="17"/>
      <c r="E29" s="17"/>
      <c r="F29" s="17"/>
    </row>
    <row r="30" spans="2:6" ht="15" customHeight="1" x14ac:dyDescent="0.35">
      <c r="B30" s="17"/>
      <c r="C30" s="17"/>
      <c r="D30" s="17"/>
      <c r="E30" s="17"/>
      <c r="F30" s="17"/>
    </row>
    <row r="31" spans="2:6" ht="15" customHeight="1" x14ac:dyDescent="0.35">
      <c r="B31" s="17"/>
      <c r="C31" s="17"/>
      <c r="D31" s="17"/>
      <c r="E31" s="17"/>
      <c r="F31" s="17"/>
    </row>
    <row r="32" spans="2:6" ht="15" customHeight="1" x14ac:dyDescent="0.35">
      <c r="B32" s="17"/>
      <c r="C32" s="17"/>
      <c r="D32" s="17"/>
      <c r="E32" s="17"/>
      <c r="F32" s="17"/>
    </row>
    <row r="33" spans="2:6" ht="15" customHeight="1" x14ac:dyDescent="0.35">
      <c r="B33" s="17"/>
      <c r="C33" s="17"/>
      <c r="D33" s="17"/>
      <c r="E33" s="17"/>
      <c r="F33" s="17"/>
    </row>
  </sheetData>
  <mergeCells count="7">
    <mergeCell ref="B23:C23"/>
    <mergeCell ref="B24:F33"/>
    <mergeCell ref="B4:J4"/>
    <mergeCell ref="B2:J2"/>
    <mergeCell ref="B16:C16"/>
    <mergeCell ref="B17:F21"/>
    <mergeCell ref="B14:J1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52"/>
  <sheetViews>
    <sheetView showGridLines="0" workbookViewId="0"/>
  </sheetViews>
  <sheetFormatPr defaultRowHeight="14.5" x14ac:dyDescent="0.35"/>
  <cols>
    <col min="1" max="1" width="2" customWidth="1"/>
    <col min="2" max="2" width="12" customWidth="1"/>
    <col min="3" max="3" width="15" customWidth="1"/>
    <col min="4" max="4" width="10" customWidth="1"/>
    <col min="5" max="5" width="16" customWidth="1"/>
    <col min="7" max="7" width="44" customWidth="1"/>
  </cols>
  <sheetData>
    <row r="2" spans="2:10" ht="28" customHeight="1" x14ac:dyDescent="0.35">
      <c r="B2" s="12" t="s">
        <v>216</v>
      </c>
      <c r="C2" s="12"/>
      <c r="D2" s="12"/>
      <c r="E2" s="12"/>
      <c r="F2" s="12"/>
      <c r="G2" s="12"/>
      <c r="H2" s="12"/>
      <c r="I2" s="12"/>
      <c r="J2" s="12"/>
    </row>
    <row r="4" spans="2:10" ht="18" customHeight="1" x14ac:dyDescent="0.35">
      <c r="B4" s="10" t="s">
        <v>217</v>
      </c>
      <c r="C4" s="11"/>
      <c r="D4" s="11"/>
      <c r="E4" s="11"/>
      <c r="F4" s="11"/>
      <c r="G4" s="11"/>
      <c r="H4" s="11"/>
      <c r="I4" s="11"/>
      <c r="J4" s="11"/>
    </row>
    <row r="6" spans="2:10" ht="18" customHeight="1" x14ac:dyDescent="0.35">
      <c r="B6" s="1" t="s">
        <v>86</v>
      </c>
      <c r="C6" s="1" t="s">
        <v>87</v>
      </c>
      <c r="D6" s="1" t="s">
        <v>88</v>
      </c>
      <c r="E6" s="1" t="s">
        <v>91</v>
      </c>
    </row>
    <row r="7" spans="2:10" ht="17" customHeight="1" x14ac:dyDescent="0.35">
      <c r="B7" s="4">
        <v>1</v>
      </c>
      <c r="C7" s="2" t="s">
        <v>94</v>
      </c>
      <c r="D7" s="4">
        <v>1</v>
      </c>
      <c r="E7" s="6" t="str">
        <f>IFERROR(VLOOKUP(D7,'02_Cadastros'!H8:I11,2,FALSE),"sem filial")</f>
        <v>Filial Centro</v>
      </c>
    </row>
    <row r="8" spans="2:10" ht="17" customHeight="1" x14ac:dyDescent="0.35">
      <c r="B8" s="5">
        <v>2</v>
      </c>
      <c r="C8" s="3" t="s">
        <v>97</v>
      </c>
      <c r="D8" s="5">
        <v>1</v>
      </c>
      <c r="E8" s="6" t="str">
        <f>IFERROR(VLOOKUP(D8,'02_Cadastros'!H8:I11,2,FALSE),"sem filial")</f>
        <v>Filial Centro</v>
      </c>
    </row>
    <row r="9" spans="2:10" ht="17" customHeight="1" x14ac:dyDescent="0.35">
      <c r="B9" s="4">
        <v>3</v>
      </c>
      <c r="C9" s="2" t="s">
        <v>99</v>
      </c>
      <c r="D9" s="4">
        <v>2</v>
      </c>
      <c r="E9" s="6" t="str">
        <f>IFERROR(VLOOKUP(D9,'02_Cadastros'!H8:I11,2,FALSE),"sem filial")</f>
        <v>Filial Bairro</v>
      </c>
    </row>
    <row r="10" spans="2:10" ht="17" customHeight="1" x14ac:dyDescent="0.35">
      <c r="B10" s="5">
        <v>4</v>
      </c>
      <c r="C10" s="3" t="s">
        <v>102</v>
      </c>
      <c r="D10" s="5">
        <v>2</v>
      </c>
      <c r="E10" s="6" t="str">
        <f>IFERROR(VLOOKUP(D10,'02_Cadastros'!H8:I11,2,FALSE),"sem filial")</f>
        <v>Filial Bairro</v>
      </c>
    </row>
    <row r="11" spans="2:10" ht="17" customHeight="1" x14ac:dyDescent="0.35">
      <c r="B11" s="4">
        <v>5</v>
      </c>
      <c r="C11" s="2" t="s">
        <v>105</v>
      </c>
      <c r="D11" s="4">
        <v>3</v>
      </c>
      <c r="E11" s="6" t="str">
        <f>IFERROR(VLOOKUP(D11,'02_Cadastros'!H8:I11,2,FALSE),"sem filial")</f>
        <v>Filial Shopping</v>
      </c>
    </row>
    <row r="12" spans="2:10" ht="17" customHeight="1" x14ac:dyDescent="0.35">
      <c r="B12" s="5">
        <v>6</v>
      </c>
      <c r="C12" s="3" t="s">
        <v>106</v>
      </c>
      <c r="D12" s="5">
        <v>3</v>
      </c>
      <c r="E12" s="6" t="str">
        <f>IFERROR(VLOOKUP(D12,'02_Cadastros'!H8:I11,2,FALSE),"sem filial")</f>
        <v>Filial Shopping</v>
      </c>
    </row>
    <row r="13" spans="2:10" ht="17" customHeight="1" x14ac:dyDescent="0.35">
      <c r="B13" s="4">
        <v>7</v>
      </c>
      <c r="C13" s="2" t="s">
        <v>107</v>
      </c>
      <c r="D13" s="4">
        <v>4</v>
      </c>
      <c r="E13" s="6" t="str">
        <f>IFERROR(VLOOKUP(D13,'02_Cadastros'!H8:I11,2,FALSE),"sem filial")</f>
        <v>Loja Online</v>
      </c>
    </row>
    <row r="14" spans="2:10" ht="17" customHeight="1" x14ac:dyDescent="0.35">
      <c r="B14" s="5">
        <v>8</v>
      </c>
      <c r="C14" s="3" t="s">
        <v>108</v>
      </c>
      <c r="D14" s="5">
        <v>2</v>
      </c>
      <c r="E14" s="6" t="str">
        <f>IFERROR(VLOOKUP(D14,'02_Cadastros'!H8:I11,2,FALSE),"sem filial")</f>
        <v>Filial Bairro</v>
      </c>
    </row>
    <row r="15" spans="2:10" ht="17" customHeight="1" x14ac:dyDescent="0.35">
      <c r="B15" s="4">
        <v>9</v>
      </c>
      <c r="C15" s="2" t="s">
        <v>109</v>
      </c>
      <c r="D15" s="4">
        <v>1</v>
      </c>
      <c r="E15" s="6" t="str">
        <f>IFERROR(VLOOKUP(D15,'02_Cadastros'!H8:I11,2,FALSE),"sem filial")</f>
        <v>Filial Centro</v>
      </c>
    </row>
    <row r="16" spans="2:10" ht="17" customHeight="1" x14ac:dyDescent="0.35">
      <c r="B16" s="5">
        <v>10</v>
      </c>
      <c r="C16" s="3" t="s">
        <v>110</v>
      </c>
      <c r="D16" s="5">
        <v>99</v>
      </c>
      <c r="E16" s="6" t="str">
        <f>IFERROR(VLOOKUP(D16,'02_Cadastros'!H8:I11,2,FALSE),"sem filial")</f>
        <v>sem filial</v>
      </c>
    </row>
    <row r="18" spans="2:10" ht="18" customHeight="1" x14ac:dyDescent="0.35">
      <c r="B18" s="15" t="s">
        <v>218</v>
      </c>
      <c r="C18" s="11"/>
      <c r="D18" s="11"/>
      <c r="E18" s="11"/>
      <c r="F18" s="11"/>
      <c r="G18" s="11"/>
      <c r="H18" s="11"/>
      <c r="I18" s="11"/>
      <c r="J18" s="11"/>
    </row>
    <row r="20" spans="2:10" ht="18" customHeight="1" x14ac:dyDescent="0.35">
      <c r="B20" s="1" t="s">
        <v>219</v>
      </c>
      <c r="C20" s="1" t="s">
        <v>220</v>
      </c>
    </row>
    <row r="21" spans="2:10" ht="17" customHeight="1" x14ac:dyDescent="0.35">
      <c r="B21" s="2" t="s">
        <v>221</v>
      </c>
      <c r="C21" s="2" t="s">
        <v>222</v>
      </c>
    </row>
    <row r="22" spans="2:10" ht="17" customHeight="1" x14ac:dyDescent="0.35">
      <c r="B22" s="3" t="s">
        <v>223</v>
      </c>
      <c r="C22" s="3" t="s">
        <v>224</v>
      </c>
    </row>
    <row r="23" spans="2:10" ht="17" customHeight="1" x14ac:dyDescent="0.35">
      <c r="B23" s="2" t="s">
        <v>225</v>
      </c>
      <c r="C23" s="2" t="s">
        <v>226</v>
      </c>
    </row>
    <row r="24" spans="2:10" ht="17" customHeight="1" x14ac:dyDescent="0.35">
      <c r="B24" s="3" t="s">
        <v>227</v>
      </c>
      <c r="C24" s="3" t="s">
        <v>228</v>
      </c>
    </row>
    <row r="26" spans="2:10" ht="18" customHeight="1" x14ac:dyDescent="0.35">
      <c r="B26" s="18" t="s">
        <v>118</v>
      </c>
      <c r="C26" s="18"/>
    </row>
    <row r="27" spans="2:10" ht="15" customHeight="1" x14ac:dyDescent="0.35">
      <c r="B27" s="9" t="s">
        <v>229</v>
      </c>
      <c r="C27" s="9"/>
      <c r="D27" s="9"/>
      <c r="E27" s="9"/>
      <c r="F27" s="9"/>
      <c r="G27" s="9"/>
    </row>
    <row r="28" spans="2:10" ht="15" customHeight="1" x14ac:dyDescent="0.35">
      <c r="B28" s="9"/>
      <c r="C28" s="9"/>
      <c r="D28" s="9"/>
      <c r="E28" s="9"/>
      <c r="F28" s="9"/>
      <c r="G28" s="9"/>
    </row>
    <row r="29" spans="2:10" ht="15" customHeight="1" x14ac:dyDescent="0.35">
      <c r="B29" s="9"/>
      <c r="C29" s="9"/>
      <c r="D29" s="9"/>
      <c r="E29" s="9"/>
      <c r="F29" s="9"/>
      <c r="G29" s="9"/>
    </row>
    <row r="30" spans="2:10" ht="15" customHeight="1" x14ac:dyDescent="0.35">
      <c r="B30" s="9"/>
      <c r="C30" s="9"/>
      <c r="D30" s="9"/>
      <c r="E30" s="9"/>
      <c r="F30" s="9"/>
      <c r="G30" s="9"/>
    </row>
    <row r="31" spans="2:10" ht="15" customHeight="1" x14ac:dyDescent="0.35">
      <c r="B31" s="9"/>
      <c r="C31" s="9"/>
      <c r="D31" s="9"/>
      <c r="E31" s="9"/>
      <c r="F31" s="9"/>
      <c r="G31" s="9"/>
    </row>
    <row r="33" spans="2:7" ht="18" customHeight="1" x14ac:dyDescent="0.35">
      <c r="B33" s="16" t="s">
        <v>120</v>
      </c>
      <c r="C33" s="16"/>
    </row>
    <row r="34" spans="2:7" ht="19" customHeight="1" x14ac:dyDescent="0.35">
      <c r="B34" s="17" t="s">
        <v>230</v>
      </c>
      <c r="C34" s="17"/>
      <c r="D34" s="17"/>
      <c r="E34" s="17"/>
      <c r="F34" s="17"/>
      <c r="G34" s="17"/>
    </row>
    <row r="35" spans="2:7" ht="19" customHeight="1" x14ac:dyDescent="0.35">
      <c r="B35" s="17"/>
      <c r="C35" s="17"/>
      <c r="D35" s="17"/>
      <c r="E35" s="17"/>
      <c r="F35" s="17"/>
      <c r="G35" s="17"/>
    </row>
    <row r="36" spans="2:7" ht="19" customHeight="1" x14ac:dyDescent="0.35">
      <c r="B36" s="17"/>
      <c r="C36" s="17"/>
      <c r="D36" s="17"/>
      <c r="E36" s="17"/>
      <c r="F36" s="17"/>
      <c r="G36" s="17"/>
    </row>
    <row r="37" spans="2:7" ht="19" customHeight="1" x14ac:dyDescent="0.35">
      <c r="B37" s="17"/>
      <c r="C37" s="17"/>
      <c r="D37" s="17"/>
      <c r="E37" s="17"/>
      <c r="F37" s="17"/>
      <c r="G37" s="17"/>
    </row>
    <row r="38" spans="2:7" ht="19" customHeight="1" x14ac:dyDescent="0.35">
      <c r="B38" s="17"/>
      <c r="C38" s="17"/>
      <c r="D38" s="17"/>
      <c r="E38" s="17"/>
      <c r="F38" s="17"/>
      <c r="G38" s="17"/>
    </row>
    <row r="39" spans="2:7" ht="19" customHeight="1" x14ac:dyDescent="0.35">
      <c r="B39" s="17"/>
      <c r="C39" s="17"/>
      <c r="D39" s="17"/>
      <c r="E39" s="17"/>
      <c r="F39" s="17"/>
      <c r="G39" s="17"/>
    </row>
    <row r="40" spans="2:7" ht="19" customHeight="1" x14ac:dyDescent="0.35">
      <c r="B40" s="17"/>
      <c r="C40" s="17"/>
      <c r="D40" s="17"/>
      <c r="E40" s="17"/>
      <c r="F40" s="17"/>
      <c r="G40" s="17"/>
    </row>
    <row r="41" spans="2:7" ht="19" customHeight="1" x14ac:dyDescent="0.35">
      <c r="B41" s="17"/>
      <c r="C41" s="17"/>
      <c r="D41" s="17"/>
      <c r="E41" s="17"/>
      <c r="F41" s="17"/>
      <c r="G41" s="17"/>
    </row>
    <row r="42" spans="2:7" ht="19" customHeight="1" x14ac:dyDescent="0.35">
      <c r="B42" s="17"/>
      <c r="C42" s="17"/>
      <c r="D42" s="17"/>
      <c r="E42" s="17"/>
      <c r="F42" s="17"/>
      <c r="G42" s="17"/>
    </row>
    <row r="43" spans="2:7" ht="19" customHeight="1" x14ac:dyDescent="0.35">
      <c r="B43" s="17"/>
      <c r="C43" s="17"/>
      <c r="D43" s="17"/>
      <c r="E43" s="17"/>
      <c r="F43" s="17"/>
      <c r="G43" s="17"/>
    </row>
    <row r="44" spans="2:7" ht="19" customHeight="1" x14ac:dyDescent="0.35">
      <c r="B44" s="17"/>
      <c r="C44" s="17"/>
      <c r="D44" s="17"/>
      <c r="E44" s="17"/>
      <c r="F44" s="17"/>
      <c r="G44" s="17"/>
    </row>
    <row r="45" spans="2:7" ht="19" customHeight="1" x14ac:dyDescent="0.35">
      <c r="B45" s="17"/>
      <c r="C45" s="17"/>
      <c r="D45" s="17"/>
      <c r="E45" s="17"/>
      <c r="F45" s="17"/>
      <c r="G45" s="17"/>
    </row>
    <row r="46" spans="2:7" ht="19" customHeight="1" x14ac:dyDescent="0.35">
      <c r="B46" s="17"/>
      <c r="C46" s="17"/>
      <c r="D46" s="17"/>
      <c r="E46" s="17"/>
      <c r="F46" s="17"/>
      <c r="G46" s="17"/>
    </row>
    <row r="47" spans="2:7" ht="19" customHeight="1" x14ac:dyDescent="0.35">
      <c r="B47" s="17"/>
      <c r="C47" s="17"/>
      <c r="D47" s="17"/>
      <c r="E47" s="17"/>
      <c r="F47" s="17"/>
      <c r="G47" s="17"/>
    </row>
    <row r="48" spans="2:7" ht="19" customHeight="1" x14ac:dyDescent="0.35">
      <c r="B48" s="17"/>
      <c r="C48" s="17"/>
      <c r="D48" s="17"/>
      <c r="E48" s="17"/>
      <c r="F48" s="17"/>
      <c r="G48" s="17"/>
    </row>
    <row r="49" spans="2:7" ht="19" customHeight="1" x14ac:dyDescent="0.35">
      <c r="B49" s="17"/>
      <c r="C49" s="17"/>
      <c r="D49" s="17"/>
      <c r="E49" s="17"/>
      <c r="F49" s="17"/>
      <c r="G49" s="17"/>
    </row>
    <row r="50" spans="2:7" ht="19" customHeight="1" x14ac:dyDescent="0.35">
      <c r="B50" s="17"/>
      <c r="C50" s="17"/>
      <c r="D50" s="17"/>
      <c r="E50" s="17"/>
      <c r="F50" s="17"/>
      <c r="G50" s="17"/>
    </row>
    <row r="51" spans="2:7" ht="19" customHeight="1" x14ac:dyDescent="0.35">
      <c r="B51" s="17"/>
      <c r="C51" s="17"/>
      <c r="D51" s="17"/>
      <c r="E51" s="17"/>
      <c r="F51" s="17"/>
      <c r="G51" s="17"/>
    </row>
    <row r="52" spans="2:7" ht="19" customHeight="1" x14ac:dyDescent="0.35">
      <c r="B52" s="17"/>
      <c r="C52" s="17"/>
      <c r="D52" s="17"/>
      <c r="E52" s="17"/>
      <c r="F52" s="17"/>
      <c r="G52" s="17"/>
    </row>
  </sheetData>
  <mergeCells count="7">
    <mergeCell ref="B34:G52"/>
    <mergeCell ref="B2:J2"/>
    <mergeCell ref="B33:C33"/>
    <mergeCell ref="B27:G31"/>
    <mergeCell ref="B18:J18"/>
    <mergeCell ref="B4:J4"/>
    <mergeCell ref="B26:C2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J34"/>
  <sheetViews>
    <sheetView showGridLines="0" tabSelected="1" workbookViewId="0">
      <selection activeCell="J12" sqref="J12"/>
    </sheetView>
  </sheetViews>
  <sheetFormatPr defaultRowHeight="14.5" x14ac:dyDescent="0.35"/>
  <cols>
    <col min="1" max="1" width="2" customWidth="1"/>
    <col min="2" max="2" width="14" customWidth="1"/>
    <col min="3" max="8" width="9" customWidth="1"/>
    <col min="10" max="10" width="44" customWidth="1"/>
  </cols>
  <sheetData>
    <row r="2" spans="2:10" ht="28" customHeight="1" x14ac:dyDescent="0.35">
      <c r="B2" s="12" t="s">
        <v>231</v>
      </c>
      <c r="C2" s="12"/>
      <c r="D2" s="12"/>
      <c r="E2" s="12"/>
      <c r="F2" s="12"/>
      <c r="G2" s="12"/>
      <c r="H2" s="12"/>
      <c r="I2" s="12"/>
      <c r="J2" s="12"/>
    </row>
    <row r="4" spans="2:10" ht="18" customHeight="1" x14ac:dyDescent="0.35">
      <c r="B4" s="10" t="s">
        <v>232</v>
      </c>
      <c r="C4" s="11"/>
      <c r="D4" s="11"/>
      <c r="E4" s="11"/>
      <c r="F4" s="11"/>
      <c r="G4" s="11"/>
      <c r="H4" s="11"/>
      <c r="I4" s="11"/>
      <c r="J4" s="11"/>
    </row>
    <row r="6" spans="2:10" ht="18" customHeight="1" x14ac:dyDescent="0.35">
      <c r="B6" s="1" t="s">
        <v>233</v>
      </c>
      <c r="C6" s="1" t="s">
        <v>59</v>
      </c>
      <c r="D6" s="1" t="s">
        <v>28</v>
      </c>
      <c r="E6" s="1" t="s">
        <v>47</v>
      </c>
      <c r="F6" s="1" t="s">
        <v>22</v>
      </c>
      <c r="G6" s="1" t="s">
        <v>56</v>
      </c>
      <c r="H6" s="1" t="s">
        <v>16</v>
      </c>
    </row>
    <row r="7" spans="2:10" ht="17" customHeight="1" x14ac:dyDescent="0.35">
      <c r="B7" s="2" t="s">
        <v>20</v>
      </c>
      <c r="C7" s="6" t="str">
        <f>IFERROR(AVERAGEIFS('01_Dados_Vendas'!$G$7:$G$34,'01_Dados_Vendas'!$F$7:$F$34,$B7,'01_Dados_Vendas'!$J$7:$J$34,C$6),"")</f>
        <v/>
      </c>
      <c r="D7" s="6" t="str">
        <f>IFERROR(AVERAGEIFS('01_Dados_Vendas'!$G$7:$G$34,'01_Dados_Vendas'!$F$7:$F$34,$B7,'01_Dados_Vendas'!$J$7:$J$34,D$6),"")</f>
        <v/>
      </c>
      <c r="E7" s="6">
        <f>IFERROR(AVERAGEIFS('01_Dados_Vendas'!$G$7:$G$34,'01_Dados_Vendas'!$F$7:$F$34,$B7,'01_Dados_Vendas'!$J$7:$J$34,E$6),"")</f>
        <v>12.9</v>
      </c>
      <c r="F7" s="6">
        <f>IFERROR(AVERAGEIFS('01_Dados_Vendas'!$G$7:$G$34,'01_Dados_Vendas'!$F$7:$F$34,$B7,'01_Dados_Vendas'!$J$7:$J$34,F$6),"")</f>
        <v>61.6</v>
      </c>
      <c r="G7" s="6">
        <f>IFERROR(AVERAGEIFS('01_Dados_Vendas'!$G$7:$G$34,'01_Dados_Vendas'!$F$7:$F$34,$B7,'01_Dados_Vendas'!$J$7:$J$34,G$6),"")</f>
        <v>82.5</v>
      </c>
      <c r="H7" s="6">
        <f>IFERROR(AVERAGEIFS('01_Dados_Vendas'!$G$7:$G$34,'01_Dados_Vendas'!$F$7:$F$34,$B7,'01_Dados_Vendas'!$J$7:$J$34,H$6),"")</f>
        <v>13.5</v>
      </c>
    </row>
    <row r="8" spans="2:10" ht="17" customHeight="1" x14ac:dyDescent="0.35">
      <c r="B8" s="3" t="s">
        <v>26</v>
      </c>
      <c r="C8" s="6" t="str">
        <f>IFERROR(AVERAGEIFS('01_Dados_Vendas'!$G$7:$G$34,'01_Dados_Vendas'!$F$7:$F$34,$B8,'01_Dados_Vendas'!$J$7:$J$34,C$6),"")</f>
        <v/>
      </c>
      <c r="D8" s="6">
        <f>IFERROR(AVERAGEIFS('01_Dados_Vendas'!$G$7:$G$34,'01_Dados_Vendas'!$F$7:$F$34,$B8,'01_Dados_Vendas'!$J$7:$J$34,D$6),"")</f>
        <v>8.49</v>
      </c>
      <c r="E8" s="6" t="str">
        <f>IFERROR(AVERAGEIFS('01_Dados_Vendas'!$G$7:$G$34,'01_Dados_Vendas'!$F$7:$F$34,$B8,'01_Dados_Vendas'!$J$7:$J$34,E$6),"")</f>
        <v/>
      </c>
      <c r="F8" s="6">
        <f>IFERROR(AVERAGEIFS('01_Dados_Vendas'!$G$7:$G$34,'01_Dados_Vendas'!$F$7:$F$34,$B8,'01_Dados_Vendas'!$J$7:$J$34,F$6),"")</f>
        <v>15.344999999999999</v>
      </c>
      <c r="G8" s="6">
        <f>IFERROR(AVERAGEIFS('01_Dados_Vendas'!$G$7:$G$34,'01_Dados_Vendas'!$F$7:$F$34,$B8,'01_Dados_Vendas'!$J$7:$J$34,G$6),"")</f>
        <v>22.5</v>
      </c>
      <c r="H8" s="6">
        <f>IFERROR(AVERAGEIFS('01_Dados_Vendas'!$G$7:$G$34,'01_Dados_Vendas'!$F$7:$F$34,$B8,'01_Dados_Vendas'!$J$7:$J$34,H$6),"")</f>
        <v>10.9</v>
      </c>
    </row>
    <row r="9" spans="2:10" ht="17" customHeight="1" x14ac:dyDescent="0.35">
      <c r="B9" s="2" t="s">
        <v>14</v>
      </c>
      <c r="C9" s="6">
        <f>IFERROR(AVERAGEIFS('01_Dados_Vendas'!$G$7:$G$34,'01_Dados_Vendas'!$F$7:$F$34,$B9,'01_Dados_Vendas'!$J$7:$J$34,C$6),"")</f>
        <v>8.9</v>
      </c>
      <c r="D9" s="6" t="str">
        <f>IFERROR(AVERAGEIFS('01_Dados_Vendas'!$G$7:$G$34,'01_Dados_Vendas'!$F$7:$F$34,$B9,'01_Dados_Vendas'!$J$7:$J$34,D$6),"")</f>
        <v/>
      </c>
      <c r="E9" s="6" t="str">
        <f>IFERROR(AVERAGEIFS('01_Dados_Vendas'!$G$7:$G$34,'01_Dados_Vendas'!$F$7:$F$34,$B9,'01_Dados_Vendas'!$J$7:$J$34,E$6),"")</f>
        <v/>
      </c>
      <c r="F9" s="6" t="str">
        <f>IFERROR(AVERAGEIFS('01_Dados_Vendas'!$G$7:$G$34,'01_Dados_Vendas'!$F$7:$F$34,$B9,'01_Dados_Vendas'!$J$7:$J$34,F$6),"")</f>
        <v/>
      </c>
      <c r="G9" s="6" t="str">
        <f>IFERROR(AVERAGEIFS('01_Dados_Vendas'!$G$7:$G$34,'01_Dados_Vendas'!$F$7:$F$34,$B9,'01_Dados_Vendas'!$J$7:$J$34,G$6),"")</f>
        <v/>
      </c>
      <c r="H9" s="6">
        <f>IFERROR(AVERAGEIFS('01_Dados_Vendas'!$G$7:$G$34,'01_Dados_Vendas'!$F$7:$F$34,$B9,'01_Dados_Vendas'!$J$7:$J$34,H$6),"")</f>
        <v>5.6899999999999995</v>
      </c>
    </row>
    <row r="10" spans="2:10" ht="17" customHeight="1" x14ac:dyDescent="0.35">
      <c r="B10" s="3" t="s">
        <v>31</v>
      </c>
      <c r="C10" s="6" t="str">
        <f>IFERROR(AVERAGEIFS('01_Dados_Vendas'!$G$7:$G$34,'01_Dados_Vendas'!$F$7:$F$34,$B10,'01_Dados_Vendas'!$J$7:$J$34,C$6),"")</f>
        <v/>
      </c>
      <c r="D10" s="6" t="str">
        <f>IFERROR(AVERAGEIFS('01_Dados_Vendas'!$G$7:$G$34,'01_Dados_Vendas'!$F$7:$F$34,$B10,'01_Dados_Vendas'!$J$7:$J$34,D$6),"")</f>
        <v/>
      </c>
      <c r="E10" s="6">
        <f>IFERROR(AVERAGEIFS('01_Dados_Vendas'!$G$7:$G$34,'01_Dados_Vendas'!$F$7:$F$34,$B10,'01_Dados_Vendas'!$J$7:$J$34,E$6),"")</f>
        <v>5.19</v>
      </c>
      <c r="F10" s="6" t="str">
        <f>IFERROR(AVERAGEIFS('01_Dados_Vendas'!$G$7:$G$34,'01_Dados_Vendas'!$F$7:$F$34,$B10,'01_Dados_Vendas'!$J$7:$J$34,F$6),"")</f>
        <v/>
      </c>
      <c r="G10" s="6" t="str">
        <f>IFERROR(AVERAGEIFS('01_Dados_Vendas'!$G$7:$G$34,'01_Dados_Vendas'!$F$7:$F$34,$B10,'01_Dados_Vendas'!$J$7:$J$34,G$6),"")</f>
        <v/>
      </c>
      <c r="H10" s="6">
        <f>IFERROR(AVERAGEIFS('01_Dados_Vendas'!$G$7:$G$34,'01_Dados_Vendas'!$F$7:$F$34,$B10,'01_Dados_Vendas'!$J$7:$J$34,H$6),"")</f>
        <v>25.07</v>
      </c>
    </row>
    <row r="11" spans="2:10" ht="17" customHeight="1" x14ac:dyDescent="0.35">
      <c r="B11" s="2" t="s">
        <v>36</v>
      </c>
      <c r="C11" s="6" t="str">
        <f>IFERROR(AVERAGEIFS('01_Dados_Vendas'!$G$7:$G$34,'01_Dados_Vendas'!$F$7:$F$34,$B11,'01_Dados_Vendas'!$J$7:$J$34,C$6),"")</f>
        <v/>
      </c>
      <c r="D11" s="6">
        <f>IFERROR(AVERAGEIFS('01_Dados_Vendas'!$G$7:$G$34,'01_Dados_Vendas'!$F$7:$F$34,$B11,'01_Dados_Vendas'!$J$7:$J$34,D$6),"")</f>
        <v>14.9</v>
      </c>
      <c r="E11" s="6" t="str">
        <f>IFERROR(AVERAGEIFS('01_Dados_Vendas'!$G$7:$G$34,'01_Dados_Vendas'!$F$7:$F$34,$B11,'01_Dados_Vendas'!$J$7:$J$34,E$6),"")</f>
        <v/>
      </c>
      <c r="F11" s="6">
        <f>IFERROR(AVERAGEIFS('01_Dados_Vendas'!$G$7:$G$34,'01_Dados_Vendas'!$F$7:$F$34,$B11,'01_Dados_Vendas'!$J$7:$J$34,F$6),"")</f>
        <v>18.899999999999999</v>
      </c>
      <c r="G11" s="6" t="str">
        <f>IFERROR(AVERAGEIFS('01_Dados_Vendas'!$G$7:$G$34,'01_Dados_Vendas'!$F$7:$F$34,$B11,'01_Dados_Vendas'!$J$7:$J$34,G$6),"")</f>
        <v/>
      </c>
      <c r="H11" s="6">
        <f>IFERROR(AVERAGEIFS('01_Dados_Vendas'!$G$7:$G$34,'01_Dados_Vendas'!$F$7:$F$34,$B11,'01_Dados_Vendas'!$J$7:$J$34,H$6),"")</f>
        <v>2.4900000000000002</v>
      </c>
    </row>
    <row r="12" spans="2:10" ht="17" customHeight="1" x14ac:dyDescent="0.35">
      <c r="B12" s="3" t="s">
        <v>40</v>
      </c>
      <c r="C12" s="6" t="str">
        <f>IFERROR(AVERAGEIFS('01_Dados_Vendas'!$G$7:$G$34,'01_Dados_Vendas'!$F$7:$F$34,$B12,'01_Dados_Vendas'!$J$7:$J$34,C$6),"")</f>
        <v/>
      </c>
      <c r="D12" s="6" t="str">
        <f>IFERROR(AVERAGEIFS('01_Dados_Vendas'!$G$7:$G$34,'01_Dados_Vendas'!$F$7:$F$34,$B12,'01_Dados_Vendas'!$J$7:$J$34,D$6),"")</f>
        <v/>
      </c>
      <c r="E12" s="6" t="str">
        <f>IFERROR(AVERAGEIFS('01_Dados_Vendas'!$G$7:$G$34,'01_Dados_Vendas'!$F$7:$F$34,$B12,'01_Dados_Vendas'!$J$7:$J$34,E$6),"")</f>
        <v/>
      </c>
      <c r="F12" s="6" t="str">
        <f>IFERROR(AVERAGEIFS('01_Dados_Vendas'!$G$7:$G$34,'01_Dados_Vendas'!$F$7:$F$34,$B12,'01_Dados_Vendas'!$J$7:$J$34,F$6),"")</f>
        <v/>
      </c>
      <c r="G12" s="6" t="str">
        <f>IFERROR(AVERAGEIFS('01_Dados_Vendas'!$G$7:$G$34,'01_Dados_Vendas'!$F$7:$F$34,$B12,'01_Dados_Vendas'!$J$7:$J$34,G$6),"")</f>
        <v/>
      </c>
      <c r="H12" s="6">
        <f>IFERROR(AVERAGEIFS('01_Dados_Vendas'!$G$7:$G$34,'01_Dados_Vendas'!$F$7:$F$34,$B12,'01_Dados_Vendas'!$J$7:$J$34,H$6),"")</f>
        <v>14.966666666666667</v>
      </c>
    </row>
    <row r="14" spans="2:10" ht="18" customHeight="1" x14ac:dyDescent="0.35">
      <c r="B14" s="15" t="s">
        <v>234</v>
      </c>
      <c r="C14" s="11"/>
      <c r="D14" s="11"/>
      <c r="E14" s="11"/>
      <c r="F14" s="11"/>
      <c r="G14" s="11"/>
      <c r="H14" s="11"/>
      <c r="I14" s="11"/>
      <c r="J14" s="11"/>
    </row>
    <row r="16" spans="2:10" ht="18" customHeight="1" x14ac:dyDescent="0.35">
      <c r="B16" s="18" t="s">
        <v>118</v>
      </c>
      <c r="C16" s="18"/>
    </row>
    <row r="17" spans="2:10" ht="15" customHeight="1" x14ac:dyDescent="0.35">
      <c r="B17" s="9" t="s">
        <v>235</v>
      </c>
      <c r="C17" s="9"/>
      <c r="D17" s="9"/>
      <c r="E17" s="9"/>
      <c r="F17" s="9"/>
      <c r="G17" s="9"/>
      <c r="H17" s="9"/>
      <c r="I17" s="9"/>
      <c r="J17" s="9"/>
    </row>
    <row r="18" spans="2:10" ht="15" customHeight="1" x14ac:dyDescent="0.35">
      <c r="B18" s="9"/>
      <c r="C18" s="9"/>
      <c r="D18" s="9"/>
      <c r="E18" s="9"/>
      <c r="F18" s="9"/>
      <c r="G18" s="9"/>
      <c r="H18" s="9"/>
      <c r="I18" s="9"/>
      <c r="J18" s="9"/>
    </row>
    <row r="19" spans="2:10" ht="15" customHeight="1" x14ac:dyDescent="0.35">
      <c r="B19" s="9"/>
      <c r="C19" s="9"/>
      <c r="D19" s="9"/>
      <c r="E19" s="9"/>
      <c r="F19" s="9"/>
      <c r="G19" s="9"/>
      <c r="H19" s="9"/>
      <c r="I19" s="9"/>
      <c r="J19" s="9"/>
    </row>
    <row r="20" spans="2:10" ht="15" customHeight="1" x14ac:dyDescent="0.35">
      <c r="B20" s="9"/>
      <c r="C20" s="9"/>
      <c r="D20" s="9"/>
      <c r="E20" s="9"/>
      <c r="F20" s="9"/>
      <c r="G20" s="9"/>
      <c r="H20" s="9"/>
      <c r="I20" s="9"/>
      <c r="J20" s="9"/>
    </row>
    <row r="21" spans="2:10" ht="15" customHeight="1" x14ac:dyDescent="0.35">
      <c r="B21" s="9"/>
      <c r="C21" s="9"/>
      <c r="D21" s="9"/>
      <c r="E21" s="9"/>
      <c r="F21" s="9"/>
      <c r="G21" s="9"/>
      <c r="H21" s="9"/>
      <c r="I21" s="9"/>
      <c r="J21" s="9"/>
    </row>
    <row r="22" spans="2:10" ht="15" customHeight="1" x14ac:dyDescent="0.35">
      <c r="B22" s="9"/>
      <c r="C22" s="9"/>
      <c r="D22" s="9"/>
      <c r="E22" s="9"/>
      <c r="F22" s="9"/>
      <c r="G22" s="9"/>
      <c r="H22" s="9"/>
      <c r="I22" s="9"/>
      <c r="J22" s="9"/>
    </row>
    <row r="23" spans="2:10" ht="15" customHeight="1" x14ac:dyDescent="0.35">
      <c r="B23" s="9"/>
      <c r="C23" s="9"/>
      <c r="D23" s="9"/>
      <c r="E23" s="9"/>
      <c r="F23" s="9"/>
      <c r="G23" s="9"/>
      <c r="H23" s="9"/>
      <c r="I23" s="9"/>
      <c r="J23" s="9"/>
    </row>
    <row r="25" spans="2:10" ht="18" customHeight="1" x14ac:dyDescent="0.35">
      <c r="B25" s="16" t="s">
        <v>120</v>
      </c>
      <c r="C25" s="16"/>
    </row>
    <row r="26" spans="2:10" ht="15" customHeight="1" x14ac:dyDescent="0.35">
      <c r="B26" s="17" t="s">
        <v>236</v>
      </c>
      <c r="C26" s="17"/>
      <c r="D26" s="17"/>
      <c r="E26" s="17"/>
      <c r="F26" s="17"/>
      <c r="G26" s="17"/>
      <c r="H26" s="17"/>
      <c r="I26" s="17"/>
      <c r="J26" s="17"/>
    </row>
    <row r="27" spans="2:10" ht="15" customHeight="1" x14ac:dyDescent="0.35">
      <c r="B27" s="17"/>
      <c r="C27" s="17"/>
      <c r="D27" s="17"/>
      <c r="E27" s="17"/>
      <c r="F27" s="17"/>
      <c r="G27" s="17"/>
      <c r="H27" s="17"/>
      <c r="I27" s="17"/>
      <c r="J27" s="17"/>
    </row>
    <row r="28" spans="2:10" ht="15" customHeight="1" x14ac:dyDescent="0.35">
      <c r="B28" s="17"/>
      <c r="C28" s="17"/>
      <c r="D28" s="17"/>
      <c r="E28" s="17"/>
      <c r="F28" s="17"/>
      <c r="G28" s="17"/>
      <c r="H28" s="17"/>
      <c r="I28" s="17"/>
      <c r="J28" s="17"/>
    </row>
    <row r="29" spans="2:10" ht="15" customHeight="1" x14ac:dyDescent="0.35">
      <c r="B29" s="17"/>
      <c r="C29" s="17"/>
      <c r="D29" s="17"/>
      <c r="E29" s="17"/>
      <c r="F29" s="17"/>
      <c r="G29" s="17"/>
      <c r="H29" s="17"/>
      <c r="I29" s="17"/>
      <c r="J29" s="17"/>
    </row>
    <row r="30" spans="2:10" ht="15" customHeight="1" x14ac:dyDescent="0.35">
      <c r="B30" s="17"/>
      <c r="C30" s="17"/>
      <c r="D30" s="17"/>
      <c r="E30" s="17"/>
      <c r="F30" s="17"/>
      <c r="G30" s="17"/>
      <c r="H30" s="17"/>
      <c r="I30" s="17"/>
      <c r="J30" s="17"/>
    </row>
    <row r="31" spans="2:10" ht="15" customHeight="1" x14ac:dyDescent="0.35">
      <c r="B31" s="17"/>
      <c r="C31" s="17"/>
      <c r="D31" s="17"/>
      <c r="E31" s="17"/>
      <c r="F31" s="17"/>
      <c r="G31" s="17"/>
      <c r="H31" s="17"/>
      <c r="I31" s="17"/>
      <c r="J31" s="17"/>
    </row>
    <row r="32" spans="2:10" ht="15" customHeight="1" x14ac:dyDescent="0.35">
      <c r="B32" s="17"/>
      <c r="C32" s="17"/>
      <c r="D32" s="17"/>
      <c r="E32" s="17"/>
      <c r="F32" s="17"/>
      <c r="G32" s="17"/>
      <c r="H32" s="17"/>
      <c r="I32" s="17"/>
      <c r="J32" s="17"/>
    </row>
    <row r="33" spans="2:10" ht="15" customHeight="1" x14ac:dyDescent="0.35">
      <c r="B33" s="17"/>
      <c r="C33" s="17"/>
      <c r="D33" s="17"/>
      <c r="E33" s="17"/>
      <c r="F33" s="17"/>
      <c r="G33" s="17"/>
      <c r="H33" s="17"/>
      <c r="I33" s="17"/>
      <c r="J33" s="17"/>
    </row>
    <row r="34" spans="2:10" ht="15" customHeight="1" x14ac:dyDescent="0.35">
      <c r="B34" s="17"/>
      <c r="C34" s="17"/>
      <c r="D34" s="17"/>
      <c r="E34" s="17"/>
      <c r="F34" s="17"/>
      <c r="G34" s="17"/>
      <c r="H34" s="17"/>
      <c r="I34" s="17"/>
      <c r="J34" s="17"/>
    </row>
  </sheetData>
  <mergeCells count="7">
    <mergeCell ref="B26:J34"/>
    <mergeCell ref="B2:J2"/>
    <mergeCell ref="B17:J23"/>
    <mergeCell ref="B16:C16"/>
    <mergeCell ref="B25:C25"/>
    <mergeCell ref="B14:J14"/>
    <mergeCell ref="B4:J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J26"/>
  <sheetViews>
    <sheetView showGridLines="0" workbookViewId="0">
      <selection activeCell="F22" sqref="F22"/>
    </sheetView>
  </sheetViews>
  <sheetFormatPr defaultRowHeight="14.5" x14ac:dyDescent="0.35"/>
  <cols>
    <col min="1" max="1" width="2" customWidth="1"/>
    <col min="2" max="2" width="18" customWidth="1"/>
    <col min="3" max="3" width="13" customWidth="1"/>
    <col min="4" max="4" width="14" customWidth="1"/>
    <col min="6" max="6" width="44" customWidth="1"/>
  </cols>
  <sheetData>
    <row r="2" spans="2:10" ht="28" customHeight="1" x14ac:dyDescent="0.35">
      <c r="B2" s="12" t="s">
        <v>237</v>
      </c>
      <c r="C2" s="12"/>
      <c r="D2" s="12"/>
      <c r="E2" s="12"/>
      <c r="F2" s="12"/>
      <c r="G2" s="12"/>
      <c r="H2" s="12"/>
      <c r="I2" s="12"/>
      <c r="J2" s="12"/>
    </row>
    <row r="4" spans="2:10" ht="18" customHeight="1" x14ac:dyDescent="0.35">
      <c r="B4" s="10" t="s">
        <v>238</v>
      </c>
      <c r="C4" s="11"/>
      <c r="D4" s="11"/>
      <c r="E4" s="11"/>
      <c r="F4" s="11"/>
      <c r="G4" s="11"/>
      <c r="H4" s="11"/>
      <c r="I4" s="11"/>
      <c r="J4" s="11"/>
    </row>
    <row r="6" spans="2:10" ht="18" customHeight="1" x14ac:dyDescent="0.35">
      <c r="B6" s="18" t="s">
        <v>125</v>
      </c>
      <c r="C6" s="18"/>
    </row>
    <row r="7" spans="2:10" ht="32" customHeight="1" x14ac:dyDescent="0.35">
      <c r="B7" s="10" t="s">
        <v>239</v>
      </c>
      <c r="C7" s="11"/>
      <c r="D7" s="11"/>
      <c r="E7" s="11"/>
      <c r="F7" s="11"/>
      <c r="G7" s="11"/>
      <c r="H7" s="11"/>
      <c r="I7" s="11"/>
      <c r="J7" s="11"/>
    </row>
    <row r="10" spans="2:10" ht="18" customHeight="1" x14ac:dyDescent="0.35">
      <c r="B10" s="18" t="s">
        <v>118</v>
      </c>
      <c r="C10" s="18"/>
    </row>
    <row r="11" spans="2:10" ht="15" customHeight="1" x14ac:dyDescent="0.35">
      <c r="B11" s="9" t="s">
        <v>240</v>
      </c>
      <c r="C11" s="9"/>
      <c r="D11" s="9"/>
      <c r="E11" s="9"/>
      <c r="F11" s="9"/>
    </row>
    <row r="12" spans="2:10" ht="15" customHeight="1" x14ac:dyDescent="0.35">
      <c r="B12" s="9"/>
      <c r="C12" s="9"/>
      <c r="D12" s="9"/>
      <c r="E12" s="9"/>
      <c r="F12" s="9"/>
    </row>
    <row r="13" spans="2:10" ht="15" customHeight="1" x14ac:dyDescent="0.35">
      <c r="B13" s="9"/>
      <c r="C13" s="9"/>
      <c r="D13" s="9"/>
      <c r="E13" s="9"/>
      <c r="F13" s="9"/>
    </row>
    <row r="14" spans="2:10" ht="15" customHeight="1" x14ac:dyDescent="0.35">
      <c r="B14" s="9"/>
      <c r="C14" s="9"/>
      <c r="D14" s="9"/>
      <c r="E14" s="9"/>
      <c r="F14" s="9"/>
    </row>
    <row r="15" spans="2:10" ht="15" customHeight="1" x14ac:dyDescent="0.35">
      <c r="B15" s="9"/>
      <c r="C15" s="9"/>
      <c r="D15" s="9"/>
      <c r="E15" s="9"/>
      <c r="F15" s="9"/>
    </row>
    <row r="16" spans="2:10" ht="15" customHeight="1" x14ac:dyDescent="0.35">
      <c r="B16" s="9"/>
      <c r="C16" s="9"/>
      <c r="D16" s="9"/>
      <c r="E16" s="9"/>
      <c r="F16" s="9"/>
    </row>
    <row r="17" spans="2:6" ht="15" customHeight="1" x14ac:dyDescent="0.35">
      <c r="B17" s="9"/>
      <c r="C17" s="9"/>
      <c r="D17" s="9"/>
      <c r="E17" s="9"/>
      <c r="F17" s="9"/>
    </row>
    <row r="18" spans="2:6" ht="15" customHeight="1" x14ac:dyDescent="0.35">
      <c r="B18" s="9"/>
      <c r="C18" s="9"/>
      <c r="D18" s="9"/>
      <c r="E18" s="9"/>
      <c r="F18" s="9"/>
    </row>
    <row r="20" spans="2:6" ht="18" customHeight="1" x14ac:dyDescent="0.35">
      <c r="B20" s="16" t="s">
        <v>120</v>
      </c>
      <c r="C20" s="16"/>
    </row>
    <row r="21" spans="2:6" ht="18" customHeight="1" x14ac:dyDescent="0.35">
      <c r="B21" s="1" t="s">
        <v>9</v>
      </c>
      <c r="C21" s="1" t="s">
        <v>241</v>
      </c>
      <c r="D21" s="1" t="s">
        <v>242</v>
      </c>
    </row>
    <row r="22" spans="2:6" ht="17" customHeight="1" x14ac:dyDescent="0.35">
      <c r="B22" s="2" t="s">
        <v>21</v>
      </c>
      <c r="C22" s="4">
        <v>3</v>
      </c>
      <c r="D22" s="4">
        <v>17.73</v>
      </c>
    </row>
    <row r="23" spans="2:6" ht="17" customHeight="1" x14ac:dyDescent="0.35">
      <c r="B23" s="3" t="s">
        <v>15</v>
      </c>
      <c r="C23" s="5">
        <v>2</v>
      </c>
      <c r="D23" s="5">
        <v>10.9</v>
      </c>
    </row>
    <row r="24" spans="2:6" ht="17" customHeight="1" x14ac:dyDescent="0.35">
      <c r="B24" s="2" t="s">
        <v>27</v>
      </c>
      <c r="C24" s="4">
        <v>1</v>
      </c>
      <c r="D24" s="4">
        <v>8.49</v>
      </c>
    </row>
    <row r="26" spans="2:6" ht="18" customHeight="1" x14ac:dyDescent="0.35">
      <c r="B26" s="21" t="s">
        <v>243</v>
      </c>
      <c r="C26" s="11"/>
      <c r="D26" s="11"/>
      <c r="E26" s="11"/>
      <c r="F26" s="11"/>
    </row>
  </sheetData>
  <mergeCells count="8">
    <mergeCell ref="B4:J4"/>
    <mergeCell ref="B26:F26"/>
    <mergeCell ref="B2:J2"/>
    <mergeCell ref="B7:J7"/>
    <mergeCell ref="B6:C6"/>
    <mergeCell ref="B20:C20"/>
    <mergeCell ref="B10:C10"/>
    <mergeCell ref="B11:F1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J31"/>
  <sheetViews>
    <sheetView showGridLines="0" workbookViewId="0">
      <selection activeCell="F8" sqref="F8"/>
    </sheetView>
  </sheetViews>
  <sheetFormatPr defaultRowHeight="14.5" x14ac:dyDescent="0.35"/>
  <cols>
    <col min="1" max="1" width="2" customWidth="1"/>
    <col min="2" max="2" width="40" customWidth="1"/>
    <col min="3" max="3" width="44" customWidth="1"/>
    <col min="4" max="4" width="38" customWidth="1"/>
  </cols>
  <sheetData>
    <row r="2" spans="2:10" ht="28" customHeight="1" x14ac:dyDescent="0.35">
      <c r="B2" s="12" t="s">
        <v>244</v>
      </c>
      <c r="C2" s="12"/>
      <c r="D2" s="12"/>
      <c r="E2" s="12"/>
      <c r="F2" s="12"/>
      <c r="G2" s="12"/>
      <c r="H2" s="12"/>
      <c r="I2" s="12"/>
      <c r="J2" s="12"/>
    </row>
    <row r="4" spans="2:10" ht="18" customHeight="1" x14ac:dyDescent="0.35">
      <c r="B4" s="22" t="s">
        <v>245</v>
      </c>
      <c r="C4" s="22"/>
      <c r="D4" s="22"/>
    </row>
    <row r="5" spans="2:10" ht="17" customHeight="1" x14ac:dyDescent="0.35">
      <c r="B5" s="7" t="s">
        <v>246</v>
      </c>
      <c r="C5" s="6" t="s">
        <v>247</v>
      </c>
      <c r="D5" s="8" t="s">
        <v>248</v>
      </c>
    </row>
    <row r="6" spans="2:10" ht="17" customHeight="1" x14ac:dyDescent="0.35">
      <c r="B6" s="7" t="s">
        <v>127</v>
      </c>
      <c r="C6" s="6" t="s">
        <v>249</v>
      </c>
      <c r="D6" s="8"/>
    </row>
    <row r="7" spans="2:10" ht="17" customHeight="1" x14ac:dyDescent="0.35">
      <c r="B7" s="7" t="s">
        <v>250</v>
      </c>
      <c r="C7" s="6" t="s">
        <v>251</v>
      </c>
      <c r="D7" s="8" t="s">
        <v>252</v>
      </c>
    </row>
    <row r="8" spans="2:10" ht="17" customHeight="1" x14ac:dyDescent="0.35">
      <c r="B8" s="7" t="s">
        <v>253</v>
      </c>
      <c r="C8" s="6" t="s">
        <v>254</v>
      </c>
      <c r="D8" s="8" t="s">
        <v>255</v>
      </c>
    </row>
    <row r="9" spans="2:10" ht="17" customHeight="1" x14ac:dyDescent="0.35">
      <c r="B9" s="7" t="s">
        <v>256</v>
      </c>
      <c r="C9" s="6" t="s">
        <v>257</v>
      </c>
      <c r="D9" s="8"/>
    </row>
    <row r="10" spans="2:10" ht="17" customHeight="1" x14ac:dyDescent="0.35">
      <c r="B10" s="7" t="s">
        <v>258</v>
      </c>
      <c r="C10" s="6" t="s">
        <v>259</v>
      </c>
      <c r="D10" s="8"/>
    </row>
    <row r="11" spans="2:10" ht="17" customHeight="1" x14ac:dyDescent="0.35">
      <c r="B11" s="7" t="s">
        <v>260</v>
      </c>
      <c r="C11" s="6" t="s">
        <v>261</v>
      </c>
      <c r="D11" s="8" t="s">
        <v>262</v>
      </c>
    </row>
    <row r="12" spans="2:10" ht="17" customHeight="1" x14ac:dyDescent="0.35">
      <c r="B12" s="7" t="s">
        <v>164</v>
      </c>
      <c r="C12" s="6" t="s">
        <v>263</v>
      </c>
      <c r="D12" s="8"/>
    </row>
    <row r="13" spans="2:10" ht="18" customHeight="1" x14ac:dyDescent="0.35">
      <c r="B13" s="22" t="s">
        <v>264</v>
      </c>
      <c r="C13" s="22"/>
      <c r="D13" s="22"/>
    </row>
    <row r="14" spans="2:10" ht="17" customHeight="1" x14ac:dyDescent="0.35">
      <c r="B14" s="7" t="s">
        <v>265</v>
      </c>
      <c r="C14" s="6" t="s">
        <v>266</v>
      </c>
      <c r="D14" s="8" t="s">
        <v>267</v>
      </c>
    </row>
    <row r="15" spans="2:10" ht="17" customHeight="1" x14ac:dyDescent="0.35">
      <c r="B15" s="7" t="s">
        <v>268</v>
      </c>
      <c r="C15" s="6" t="s">
        <v>269</v>
      </c>
      <c r="D15" s="8" t="s">
        <v>270</v>
      </c>
    </row>
    <row r="16" spans="2:10" ht="17" customHeight="1" x14ac:dyDescent="0.35">
      <c r="B16" s="7" t="s">
        <v>271</v>
      </c>
      <c r="C16" s="6" t="s">
        <v>272</v>
      </c>
      <c r="D16" s="8" t="s">
        <v>273</v>
      </c>
    </row>
    <row r="17" spans="2:4" ht="17" customHeight="1" x14ac:dyDescent="0.35">
      <c r="B17" s="7" t="s">
        <v>274</v>
      </c>
      <c r="C17" s="6" t="s">
        <v>275</v>
      </c>
      <c r="D17" s="8" t="s">
        <v>276</v>
      </c>
    </row>
    <row r="18" spans="2:4" ht="17" customHeight="1" x14ac:dyDescent="0.35">
      <c r="B18" s="7" t="s">
        <v>277</v>
      </c>
      <c r="C18" s="6" t="s">
        <v>278</v>
      </c>
      <c r="D18" s="8"/>
    </row>
    <row r="19" spans="2:4" ht="17" customHeight="1" x14ac:dyDescent="0.35">
      <c r="B19" s="7" t="s">
        <v>279</v>
      </c>
      <c r="C19" s="6" t="s">
        <v>280</v>
      </c>
      <c r="D19" s="8" t="s">
        <v>281</v>
      </c>
    </row>
    <row r="20" spans="2:4" ht="17" customHeight="1" x14ac:dyDescent="0.35">
      <c r="B20" s="7" t="s">
        <v>282</v>
      </c>
      <c r="C20" s="6" t="s">
        <v>283</v>
      </c>
      <c r="D20" s="8"/>
    </row>
    <row r="21" spans="2:4" ht="17" customHeight="1" x14ac:dyDescent="0.35">
      <c r="B21" s="7" t="s">
        <v>284</v>
      </c>
      <c r="C21" s="6" t="s">
        <v>285</v>
      </c>
      <c r="D21" s="8" t="s">
        <v>286</v>
      </c>
    </row>
    <row r="22" spans="2:4" ht="18" customHeight="1" x14ac:dyDescent="0.35">
      <c r="B22" s="22" t="s">
        <v>287</v>
      </c>
      <c r="C22" s="22"/>
      <c r="D22" s="22"/>
    </row>
    <row r="23" spans="2:4" ht="17" customHeight="1" x14ac:dyDescent="0.35">
      <c r="B23" s="7" t="s">
        <v>288</v>
      </c>
      <c r="C23" s="6" t="s">
        <v>289</v>
      </c>
      <c r="D23" s="8"/>
    </row>
    <row r="24" spans="2:4" ht="17" customHeight="1" x14ac:dyDescent="0.35">
      <c r="B24" s="7" t="s">
        <v>290</v>
      </c>
      <c r="C24" s="6" t="s">
        <v>291</v>
      </c>
      <c r="D24" s="8" t="s">
        <v>292</v>
      </c>
    </row>
    <row r="25" spans="2:4" ht="17" customHeight="1" x14ac:dyDescent="0.35">
      <c r="B25" s="7" t="s">
        <v>293</v>
      </c>
      <c r="C25" s="6" t="s">
        <v>294</v>
      </c>
      <c r="D25" s="8"/>
    </row>
    <row r="26" spans="2:4" ht="18" customHeight="1" x14ac:dyDescent="0.35">
      <c r="B26" s="22" t="s">
        <v>295</v>
      </c>
      <c r="C26" s="22"/>
      <c r="D26" s="22"/>
    </row>
    <row r="27" spans="2:4" ht="17" customHeight="1" x14ac:dyDescent="0.35">
      <c r="B27" s="7" t="s">
        <v>296</v>
      </c>
      <c r="C27" s="6" t="s">
        <v>297</v>
      </c>
      <c r="D27" s="8" t="s">
        <v>298</v>
      </c>
    </row>
    <row r="28" spans="2:4" ht="17" customHeight="1" x14ac:dyDescent="0.35">
      <c r="B28" s="7" t="s">
        <v>299</v>
      </c>
      <c r="C28" s="6" t="s">
        <v>300</v>
      </c>
      <c r="D28" s="8"/>
    </row>
    <row r="29" spans="2:4" ht="17" customHeight="1" x14ac:dyDescent="0.35">
      <c r="B29" s="7" t="s">
        <v>301</v>
      </c>
      <c r="C29" s="6" t="s">
        <v>302</v>
      </c>
      <c r="D29" s="8" t="s">
        <v>303</v>
      </c>
    </row>
    <row r="30" spans="2:4" ht="17" customHeight="1" x14ac:dyDescent="0.35">
      <c r="B30" s="7" t="s">
        <v>304</v>
      </c>
      <c r="C30" s="6" t="s">
        <v>305</v>
      </c>
      <c r="D30" s="8"/>
    </row>
    <row r="31" spans="2:4" ht="17" customHeight="1" x14ac:dyDescent="0.35">
      <c r="B31" s="7" t="s">
        <v>306</v>
      </c>
      <c r="C31" s="6" t="s">
        <v>307</v>
      </c>
      <c r="D31" s="8"/>
    </row>
  </sheetData>
  <mergeCells count="5">
    <mergeCell ref="B22:D22"/>
    <mergeCell ref="B4:D4"/>
    <mergeCell ref="B26:D26"/>
    <mergeCell ref="B13:D13"/>
    <mergeCell ref="B2:J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J23"/>
  <sheetViews>
    <sheetView showGridLines="0" workbookViewId="0">
      <selection activeCell="E25" sqref="E25"/>
    </sheetView>
  </sheetViews>
  <sheetFormatPr defaultRowHeight="14.5" x14ac:dyDescent="0.35"/>
  <cols>
    <col min="1" max="1" width="2" customWidth="1"/>
    <col min="2" max="2" width="20" customWidth="1"/>
    <col min="3" max="3" width="94" customWidth="1"/>
  </cols>
  <sheetData>
    <row r="2" spans="2:10" ht="28" customHeight="1" x14ac:dyDescent="0.35">
      <c r="B2" s="12" t="s">
        <v>308</v>
      </c>
      <c r="C2" s="12"/>
      <c r="D2" s="12"/>
      <c r="E2" s="12"/>
      <c r="F2" s="12"/>
      <c r="G2" s="12"/>
      <c r="H2" s="12"/>
      <c r="I2" s="12"/>
      <c r="J2" s="12"/>
    </row>
    <row r="4" spans="2:10" ht="18" customHeight="1" x14ac:dyDescent="0.35">
      <c r="B4" s="1" t="s">
        <v>309</v>
      </c>
      <c r="C4" s="1" t="s">
        <v>310</v>
      </c>
    </row>
    <row r="5" spans="2:10" ht="17" customHeight="1" x14ac:dyDescent="0.35">
      <c r="B5" s="2" t="s">
        <v>267</v>
      </c>
      <c r="C5" s="2" t="s">
        <v>311</v>
      </c>
    </row>
    <row r="6" spans="2:10" ht="17" customHeight="1" x14ac:dyDescent="0.35">
      <c r="B6" s="3" t="s">
        <v>312</v>
      </c>
      <c r="C6" s="3" t="s">
        <v>313</v>
      </c>
    </row>
    <row r="7" spans="2:10" ht="17" customHeight="1" x14ac:dyDescent="0.35">
      <c r="B7" s="2" t="s">
        <v>314</v>
      </c>
      <c r="C7" s="2" t="s">
        <v>315</v>
      </c>
    </row>
    <row r="8" spans="2:10" ht="17" customHeight="1" x14ac:dyDescent="0.35">
      <c r="B8" s="3" t="s">
        <v>316</v>
      </c>
      <c r="C8" s="3" t="s">
        <v>317</v>
      </c>
    </row>
    <row r="9" spans="2:10" ht="17" customHeight="1" x14ac:dyDescent="0.35">
      <c r="B9" s="2" t="s">
        <v>318</v>
      </c>
      <c r="C9" s="2" t="s">
        <v>319</v>
      </c>
    </row>
    <row r="10" spans="2:10" ht="17" customHeight="1" x14ac:dyDescent="0.35">
      <c r="B10" s="3" t="s">
        <v>320</v>
      </c>
      <c r="C10" s="3" t="s">
        <v>321</v>
      </c>
    </row>
    <row r="11" spans="2:10" ht="17" customHeight="1" x14ac:dyDescent="0.35">
      <c r="B11" s="2" t="s">
        <v>322</v>
      </c>
      <c r="C11" s="2" t="s">
        <v>323</v>
      </c>
    </row>
    <row r="12" spans="2:10" ht="17" customHeight="1" x14ac:dyDescent="0.35">
      <c r="B12" s="3" t="s">
        <v>132</v>
      </c>
      <c r="C12" s="3" t="s">
        <v>324</v>
      </c>
    </row>
    <row r="13" spans="2:10" ht="17" customHeight="1" x14ac:dyDescent="0.35">
      <c r="B13" s="2" t="s">
        <v>325</v>
      </c>
      <c r="C13" s="2" t="s">
        <v>326</v>
      </c>
    </row>
    <row r="14" spans="2:10" ht="17" customHeight="1" x14ac:dyDescent="0.35">
      <c r="B14" s="3" t="s">
        <v>327</v>
      </c>
      <c r="C14" s="3" t="s">
        <v>328</v>
      </c>
    </row>
    <row r="15" spans="2:10" ht="17" customHeight="1" x14ac:dyDescent="0.35">
      <c r="B15" s="2" t="s">
        <v>329</v>
      </c>
      <c r="C15" s="2" t="s">
        <v>330</v>
      </c>
    </row>
    <row r="16" spans="2:10" ht="17" customHeight="1" x14ac:dyDescent="0.35">
      <c r="B16" s="3" t="s">
        <v>331</v>
      </c>
      <c r="C16" s="3" t="s">
        <v>332</v>
      </c>
    </row>
    <row r="17" spans="2:3" ht="17" customHeight="1" x14ac:dyDescent="0.35">
      <c r="B17" s="2" t="s">
        <v>333</v>
      </c>
      <c r="C17" s="2" t="s">
        <v>334</v>
      </c>
    </row>
    <row r="18" spans="2:3" ht="17" customHeight="1" x14ac:dyDescent="0.35">
      <c r="B18" s="3" t="s">
        <v>335</v>
      </c>
      <c r="C18" s="3" t="s">
        <v>336</v>
      </c>
    </row>
    <row r="19" spans="2:3" ht="17" customHeight="1" x14ac:dyDescent="0.35">
      <c r="B19" s="2" t="s">
        <v>337</v>
      </c>
      <c r="C19" s="2" t="s">
        <v>338</v>
      </c>
    </row>
    <row r="20" spans="2:3" ht="17" customHeight="1" x14ac:dyDescent="0.35">
      <c r="B20" s="3" t="s">
        <v>339</v>
      </c>
      <c r="C20" s="3" t="s">
        <v>340</v>
      </c>
    </row>
    <row r="21" spans="2:3" ht="17" customHeight="1" x14ac:dyDescent="0.35">
      <c r="B21" s="2" t="s">
        <v>219</v>
      </c>
      <c r="C21" s="2" t="s">
        <v>341</v>
      </c>
    </row>
    <row r="22" spans="2:3" ht="17" customHeight="1" x14ac:dyDescent="0.35">
      <c r="B22" s="3" t="s">
        <v>342</v>
      </c>
      <c r="C22" s="3" t="s">
        <v>343</v>
      </c>
    </row>
    <row r="23" spans="2:3" ht="17" customHeight="1" x14ac:dyDescent="0.35">
      <c r="B23" s="2" t="s">
        <v>344</v>
      </c>
      <c r="C23" s="2" t="s">
        <v>345</v>
      </c>
    </row>
  </sheetData>
  <mergeCells count="1">
    <mergeCell ref="B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01_Dados_Vendas</vt:lpstr>
      <vt:lpstr>02_Cadastros</vt:lpstr>
      <vt:lpstr>03_Series</vt:lpstr>
      <vt:lpstr>04_DataFrame</vt:lpstr>
      <vt:lpstr>05_Explorar</vt:lpstr>
      <vt:lpstr>06_Ler_Salvar</vt:lpstr>
      <vt:lpstr>07_Ausentes</vt:lpstr>
      <vt:lpstr>08_Colunas</vt:lpstr>
      <vt:lpstr>09_loc_iloc</vt:lpstr>
      <vt:lpstr>10_Filtros</vt:lpstr>
      <vt:lpstr>11_groupby</vt:lpstr>
      <vt:lpstr>12_merge</vt:lpstr>
      <vt:lpstr>13_pivot_table</vt:lpstr>
      <vt:lpstr>14_Mini_Desafio</vt:lpstr>
      <vt:lpstr>15_Chuleta</vt:lpstr>
      <vt:lpstr>16_Glossario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Luana Pereira</cp:lastModifiedBy>
  <dcterms:created xsi:type="dcterms:W3CDTF">2026-08-28T13:00:58Z</dcterms:created>
  <dcterms:modified xsi:type="dcterms:W3CDTF">2026-08-28T21:22:06Z</dcterms:modified>
</cp:coreProperties>
</file>